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Projetos elétricos\"/>
    </mc:Choice>
  </mc:AlternateContent>
  <xr:revisionPtr revIDLastSave="0" documentId="13_ncr:1_{3A6A5970-DAD5-4A32-8590-C3EC0C17A6B5}" xr6:coauthVersionLast="47" xr6:coauthVersionMax="47" xr10:uidLastSave="{00000000-0000-0000-0000-000000000000}"/>
  <bookViews>
    <workbookView xWindow="-120" yWindow="-120" windowWidth="29040" windowHeight="15840" tabRatio="677" xr2:uid="{00000000-000D-0000-FFFF-FFFF00000000}"/>
  </bookViews>
  <sheets>
    <sheet name="Dimensionamento" sheetId="7" r:id="rId1"/>
    <sheet name="ΔV_cobre" sheetId="1" r:id="rId2"/>
    <sheet name="Cu_3f &lt;25mm²" sheetId="2" state="hidden" r:id="rId3"/>
    <sheet name="Cu_3f &gt;25mm²" sheetId="3" state="hidden" r:id="rId4"/>
    <sheet name="ΔV_alumínio" sheetId="4" r:id="rId5"/>
    <sheet name="Conduletes" sheetId="8" r:id="rId6"/>
    <sheet name="Tabela 40 Temperatura" sheetId="9" r:id="rId7"/>
    <sheet name="Tabela 42 Agrupamento" sheetId="10" r:id="rId8"/>
    <sheet name="Tabela 37 EPR" sheetId="11" r:id="rId9"/>
    <sheet name="Módulo" sheetId="12" r:id="rId10"/>
    <sheet name="Inversor" sheetId="13" r:id="rId11"/>
    <sheet name="Disjuntor" sheetId="18" r:id="rId12"/>
    <sheet name="Al_3f &lt;25mm²" sheetId="5" state="hidden" r:id="rId13"/>
    <sheet name="Al_3f &gt;25mm²" sheetId="6" state="hidden" r:id="rId14"/>
  </sheets>
  <definedNames>
    <definedName name="Corrente_corrigida_circuito_1">'Tabela 37 EPR'!$P$25</definedName>
    <definedName name="Corrente_corrigida_circuito_2">'Tabela 37 EPR'!$P$44</definedName>
    <definedName name="Corrente_disjuntor_circuito_1">'Tabela 37 EPR'!$P$29</definedName>
    <definedName name="Corrente_disjuntor_circuito_2">'Tabela 37 EPR'!$P$48</definedName>
    <definedName name="DadosExternos_1" localSheetId="11" hidden="1">Disjuntor!$A$1:$B$14</definedName>
    <definedName name="Fator_de_Temperatura" comment="Em teste">Dimensionamento!$Q$3</definedName>
    <definedName name="Ref_p_local_circuito_1">'Tabela 37 EPR'!$P$24</definedName>
    <definedName name="Ref_p_localização_circuito_2">'Tabela 37 EPR'!$P$43</definedName>
    <definedName name="teste" comment="Em teste" localSheetId="0">Dimensionamento!$Q$3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7" l="1"/>
  <c r="T6" i="7"/>
  <c r="B21" i="10" s="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9" i="11"/>
  <c r="P43" i="11"/>
  <c r="P23" i="11"/>
  <c r="P24" i="11" s="1"/>
  <c r="B15" i="10"/>
  <c r="J4" i="9"/>
  <c r="J3" i="9"/>
  <c r="J2" i="9"/>
  <c r="J5" i="9" s="1"/>
  <c r="J6" i="9"/>
  <c r="J1" i="9"/>
  <c r="B16" i="10"/>
  <c r="B17" i="10" s="1"/>
  <c r="B22" i="10"/>
  <c r="B23" i="10" s="1"/>
  <c r="B14" i="10"/>
  <c r="S25" i="11"/>
  <c r="S24" i="11"/>
  <c r="P29" i="11"/>
  <c r="O22" i="11"/>
  <c r="S23" i="11" s="1"/>
  <c r="P48" i="11"/>
  <c r="J7" i="9"/>
  <c r="J8" i="9"/>
  <c r="J9" i="9"/>
  <c r="B20" i="10"/>
  <c r="S44" i="11"/>
  <c r="S43" i="11"/>
  <c r="O41" i="11"/>
  <c r="S42" i="11" s="1"/>
  <c r="I54" i="7"/>
  <c r="E64" i="7" s="1"/>
  <c r="G57" i="7"/>
  <c r="G56" i="7"/>
  <c r="G55" i="7"/>
  <c r="G54" i="7"/>
  <c r="J63" i="7"/>
  <c r="J58" i="7"/>
  <c r="E59" i="7"/>
  <c r="E60" i="7" s="1"/>
  <c r="F59" i="7"/>
  <c r="F60" i="7" s="1"/>
  <c r="F62" i="7"/>
  <c r="E62" i="7"/>
  <c r="F61" i="7"/>
  <c r="E61" i="7"/>
  <c r="F55" i="7"/>
  <c r="E55" i="7"/>
  <c r="F54" i="7"/>
  <c r="E54" i="7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I85" i="11"/>
  <c r="I84" i="11"/>
  <c r="I83" i="11"/>
  <c r="I82" i="11"/>
  <c r="I81" i="11"/>
  <c r="I80" i="11"/>
  <c r="I79" i="11"/>
  <c r="I78" i="11"/>
  <c r="I77" i="11"/>
  <c r="I76" i="11"/>
  <c r="I74" i="11"/>
  <c r="I73" i="11"/>
  <c r="I72" i="11"/>
  <c r="I71" i="11"/>
  <c r="I70" i="11"/>
  <c r="I69" i="11"/>
  <c r="I68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I75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K55" i="11"/>
  <c r="K54" i="11"/>
  <c r="K53" i="11"/>
  <c r="K52" i="11"/>
  <c r="K51" i="11"/>
  <c r="K50" i="11"/>
  <c r="K49" i="11"/>
  <c r="K48" i="11"/>
  <c r="K47" i="11"/>
  <c r="K46" i="11"/>
  <c r="K45" i="11"/>
  <c r="K44" i="11"/>
  <c r="K43" i="11"/>
  <c r="K42" i="11"/>
  <c r="K41" i="11"/>
  <c r="K40" i="11"/>
  <c r="K39" i="11"/>
  <c r="K38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1" i="11"/>
  <c r="D42" i="11"/>
  <c r="D40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D39" i="11"/>
  <c r="D38" i="11"/>
  <c r="C38" i="11"/>
  <c r="B38" i="11"/>
  <c r="K32" i="7"/>
  <c r="J32" i="7"/>
  <c r="K30" i="7"/>
  <c r="J30" i="7"/>
  <c r="K28" i="7"/>
  <c r="J28" i="7"/>
  <c r="K26" i="7"/>
  <c r="J26" i="7"/>
  <c r="K23" i="7"/>
  <c r="J23" i="7"/>
  <c r="B18" i="10" l="1"/>
  <c r="B24" i="10"/>
  <c r="Y6" i="7" s="1"/>
  <c r="J66" i="7"/>
  <c r="J67" i="7" s="1"/>
  <c r="F63" i="7"/>
  <c r="E56" i="7"/>
  <c r="F56" i="7" s="1"/>
  <c r="E63" i="7"/>
  <c r="E58" i="7"/>
  <c r="F64" i="7"/>
  <c r="F58" i="7"/>
  <c r="E57" i="7" s="1"/>
  <c r="G66" i="7"/>
  <c r="G67" i="7" s="1"/>
  <c r="E4" i="18"/>
  <c r="F57" i="7" l="1"/>
  <c r="F66" i="7" s="1"/>
  <c r="F67" i="7" s="1"/>
  <c r="K54" i="7"/>
  <c r="P22" i="7" s="1"/>
  <c r="F7" i="1" s="1"/>
  <c r="E66" i="7"/>
  <c r="E67" i="7" s="1"/>
  <c r="R32" i="7"/>
  <c r="R31" i="7"/>
  <c r="R30" i="7"/>
  <c r="R29" i="7"/>
  <c r="R28" i="7"/>
  <c r="R27" i="7"/>
  <c r="R26" i="7"/>
  <c r="R25" i="7"/>
  <c r="Q32" i="7"/>
  <c r="Q31" i="7"/>
  <c r="Q30" i="7"/>
  <c r="Q29" i="7"/>
  <c r="Q28" i="7"/>
  <c r="Q27" i="7"/>
  <c r="Q26" i="7"/>
  <c r="Q25" i="7"/>
  <c r="L32" i="7"/>
  <c r="L31" i="7"/>
  <c r="L30" i="7"/>
  <c r="L29" i="7"/>
  <c r="L28" i="7"/>
  <c r="L27" i="7"/>
  <c r="L26" i="7"/>
  <c r="L25" i="7"/>
  <c r="I33" i="7"/>
  <c r="D30" i="7"/>
  <c r="D29" i="7"/>
  <c r="D28" i="7"/>
  <c r="D27" i="7"/>
  <c r="D26" i="7"/>
  <c r="D25" i="7"/>
  <c r="D24" i="7"/>
  <c r="D23" i="7"/>
  <c r="D22" i="7"/>
  <c r="D31" i="7"/>
  <c r="D32" i="7"/>
  <c r="D33" i="7"/>
  <c r="D50" i="7"/>
  <c r="D69" i="7" l="1"/>
  <c r="Q23" i="7" l="1"/>
  <c r="Q24" i="7"/>
  <c r="Q22" i="7"/>
  <c r="R24" i="7"/>
  <c r="R23" i="7"/>
  <c r="R22" i="7"/>
  <c r="L24" i="7"/>
  <c r="L23" i="7"/>
  <c r="L22" i="7"/>
  <c r="F8" i="1" s="1"/>
  <c r="R33" i="7" l="1"/>
  <c r="Y5" i="7" l="1"/>
  <c r="D9" i="9"/>
  <c r="A9" i="9"/>
  <c r="Z5" i="7" l="1"/>
  <c r="J10" i="9"/>
  <c r="Z6" i="7" s="1"/>
  <c r="AA22" i="7"/>
  <c r="K6" i="7" l="1"/>
  <c r="AA6" i="7" s="1"/>
  <c r="P44" i="11" s="1"/>
  <c r="P45" i="11" l="1"/>
  <c r="S45" i="11"/>
  <c r="S46" i="11" s="1"/>
  <c r="AA34" i="7"/>
  <c r="P54" i="11" l="1"/>
  <c r="P49" i="11" s="1"/>
  <c r="P47" i="11" s="1"/>
  <c r="AA5" i="7"/>
  <c r="P25" i="11" s="1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25" i="7"/>
  <c r="AA26" i="7"/>
  <c r="AA27" i="7"/>
  <c r="AA28" i="7"/>
  <c r="AA29" i="7"/>
  <c r="AA30" i="7"/>
  <c r="AA31" i="7"/>
  <c r="AA32" i="7"/>
  <c r="AA33" i="7"/>
  <c r="AA24" i="7"/>
  <c r="AA23" i="7"/>
  <c r="B21" i="7"/>
  <c r="Y6" i="8"/>
  <c r="Z6" i="8" s="1"/>
  <c r="Y7" i="8"/>
  <c r="Z7" i="8" s="1"/>
  <c r="Y8" i="8"/>
  <c r="Z8" i="8" s="1"/>
  <c r="Y9" i="8"/>
  <c r="Z9" i="8" s="1"/>
  <c r="Y10" i="8"/>
  <c r="Z10" i="8" s="1"/>
  <c r="Y11" i="8"/>
  <c r="Z11" i="8" s="1"/>
  <c r="Y12" i="8"/>
  <c r="Z12" i="8" s="1"/>
  <c r="Y5" i="8"/>
  <c r="Z5" i="8" s="1"/>
  <c r="T6" i="8"/>
  <c r="U6" i="8" s="1"/>
  <c r="T7" i="8"/>
  <c r="U7" i="8" s="1"/>
  <c r="T8" i="8"/>
  <c r="U8" i="8" s="1"/>
  <c r="T9" i="8"/>
  <c r="U9" i="8" s="1"/>
  <c r="T10" i="8"/>
  <c r="U10" i="8" s="1"/>
  <c r="T11" i="8"/>
  <c r="U11" i="8" s="1"/>
  <c r="T12" i="8"/>
  <c r="U12" i="8" s="1"/>
  <c r="T13" i="8"/>
  <c r="U13" i="8" s="1"/>
  <c r="T14" i="8"/>
  <c r="U14" i="8" s="1"/>
  <c r="T15" i="8"/>
  <c r="U15" i="8" s="1"/>
  <c r="T5" i="8"/>
  <c r="U5" i="8" s="1"/>
  <c r="P52" i="11" l="1"/>
  <c r="P51" i="11"/>
  <c r="P55" i="11"/>
  <c r="AG6" i="7" s="1"/>
  <c r="S26" i="11"/>
  <c r="S27" i="11" s="1"/>
  <c r="P26" i="11"/>
  <c r="P35" i="11" s="1"/>
  <c r="P30" i="11" s="1"/>
  <c r="P28" i="11" s="1"/>
  <c r="AB6" i="7"/>
  <c r="F7" i="8"/>
  <c r="M7" i="8" s="1"/>
  <c r="F8" i="8"/>
  <c r="M8" i="8" s="1"/>
  <c r="F9" i="8"/>
  <c r="M9" i="8" s="1"/>
  <c r="F10" i="8"/>
  <c r="M10" i="8" s="1"/>
  <c r="F11" i="8"/>
  <c r="M11" i="8" s="1"/>
  <c r="F12" i="8"/>
  <c r="M12" i="8" s="1"/>
  <c r="F13" i="8"/>
  <c r="M13" i="8" s="1"/>
  <c r="F14" i="8"/>
  <c r="M14" i="8" s="1"/>
  <c r="F15" i="8"/>
  <c r="M15" i="8" s="1"/>
  <c r="F16" i="8"/>
  <c r="M16" i="8" s="1"/>
  <c r="F17" i="8"/>
  <c r="M17" i="8" s="1"/>
  <c r="F18" i="8"/>
  <c r="M18" i="8" s="1"/>
  <c r="F19" i="8"/>
  <c r="M19" i="8" s="1"/>
  <c r="F20" i="8"/>
  <c r="M20" i="8" s="1"/>
  <c r="F6" i="8"/>
  <c r="M6" i="8" s="1"/>
  <c r="F5" i="8"/>
  <c r="M5" i="8" s="1"/>
  <c r="D9" i="8"/>
  <c r="L9" i="8" s="1"/>
  <c r="D10" i="8"/>
  <c r="L10" i="8" s="1"/>
  <c r="D11" i="8"/>
  <c r="L11" i="8" s="1"/>
  <c r="D12" i="8"/>
  <c r="L12" i="8" s="1"/>
  <c r="D13" i="8"/>
  <c r="L13" i="8" s="1"/>
  <c r="D14" i="8"/>
  <c r="L14" i="8" s="1"/>
  <c r="D15" i="8"/>
  <c r="L15" i="8" s="1"/>
  <c r="N15" i="8" s="1"/>
  <c r="D16" i="8"/>
  <c r="L16" i="8" s="1"/>
  <c r="D17" i="8"/>
  <c r="L17" i="8" s="1"/>
  <c r="D18" i="8"/>
  <c r="L18" i="8" s="1"/>
  <c r="D19" i="8"/>
  <c r="L19" i="8" s="1"/>
  <c r="N19" i="8" s="1"/>
  <c r="D20" i="8"/>
  <c r="L20" i="8" s="1"/>
  <c r="N20" i="8" s="1"/>
  <c r="D8" i="8"/>
  <c r="L8" i="8" s="1"/>
  <c r="D7" i="8"/>
  <c r="D6" i="8"/>
  <c r="L6" i="8" s="1"/>
  <c r="D5" i="8"/>
  <c r="L5" i="8" s="1"/>
  <c r="AB5" i="7" l="1"/>
  <c r="AE5" i="7"/>
  <c r="P33" i="11"/>
  <c r="P36" i="11"/>
  <c r="P57" i="11"/>
  <c r="AF6" i="7"/>
  <c r="AD6" i="7"/>
  <c r="AC6" i="7"/>
  <c r="P56" i="11"/>
  <c r="AE6" i="7"/>
  <c r="N16" i="8"/>
  <c r="N5" i="8"/>
  <c r="N17" i="8"/>
  <c r="N13" i="8"/>
  <c r="N11" i="8"/>
  <c r="L7" i="8"/>
  <c r="N7" i="8" s="1"/>
  <c r="N6" i="8"/>
  <c r="N12" i="8"/>
  <c r="N9" i="8"/>
  <c r="N8" i="8"/>
  <c r="N18" i="8"/>
  <c r="N10" i="8"/>
  <c r="N14" i="8"/>
  <c r="P32" i="11" l="1"/>
  <c r="AC5" i="7"/>
  <c r="AG5" i="7"/>
  <c r="N22" i="8"/>
  <c r="AF5" i="7" l="1"/>
  <c r="P38" i="11"/>
  <c r="P37" i="11"/>
  <c r="AD5" i="7"/>
  <c r="V8" i="8"/>
  <c r="V12" i="8"/>
  <c r="V10" i="8"/>
  <c r="AA9" i="8"/>
  <c r="AA5" i="8"/>
  <c r="AA6" i="8"/>
  <c r="AA10" i="8"/>
  <c r="AA7" i="8"/>
  <c r="AA11" i="8"/>
  <c r="AA8" i="8"/>
  <c r="AA12" i="8"/>
  <c r="V15" i="8"/>
  <c r="V9" i="8"/>
  <c r="V6" i="8"/>
  <c r="V5" i="8"/>
  <c r="V11" i="8"/>
  <c r="V14" i="8"/>
  <c r="V13" i="8"/>
  <c r="V7" i="8"/>
  <c r="O31" i="4"/>
  <c r="O32" i="4" s="1"/>
  <c r="O13" i="4"/>
  <c r="O14" i="4" s="1"/>
  <c r="O15" i="4" s="1"/>
  <c r="O31" i="1"/>
  <c r="O32" i="1" s="1"/>
  <c r="O13" i="1"/>
  <c r="O14" i="1" s="1"/>
  <c r="S29" i="11" s="1"/>
  <c r="O15" i="1" l="1"/>
  <c r="E13" i="6"/>
  <c r="E14" i="6" s="1"/>
  <c r="E12" i="5"/>
  <c r="E13" i="5" s="1"/>
  <c r="E14" i="5" s="1"/>
  <c r="F13" i="4"/>
  <c r="F14" i="4" s="1"/>
  <c r="F15" i="4" s="1"/>
  <c r="F13" i="1"/>
  <c r="F14" i="1" s="1"/>
  <c r="F15" i="1" s="1"/>
  <c r="E13" i="3"/>
  <c r="E14" i="3" s="1"/>
  <c r="E12" i="2"/>
  <c r="E13" i="2" s="1"/>
  <c r="E1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R75014 RAKIA</author>
    <author>R75003 Rakia</author>
    <author>Gustavo Zanetti</author>
  </authors>
  <commentList>
    <comment ref="Q3" authorId="0" shapeId="0" xr:uid="{9B44633A-37A4-4004-95BA-EE25C7C760B5}">
      <text>
        <r>
          <rPr>
            <b/>
            <sz val="9"/>
            <color indexed="81"/>
            <rFont val="Segoe UI"/>
            <charset val="1"/>
          </rPr>
          <t>R75014 RAKIA:</t>
        </r>
        <r>
          <rPr>
            <sz val="9"/>
            <color indexed="81"/>
            <rFont val="Segoe UI"/>
            <charset val="1"/>
          </rPr>
          <t xml:space="preserve">
Selecione todos os fatores para temperatura</t>
        </r>
      </text>
    </comment>
    <comment ref="V3" authorId="0" shapeId="0" xr:uid="{3008881E-585D-432D-902E-C3C9749F8439}">
      <text>
        <r>
          <rPr>
            <b/>
            <sz val="9"/>
            <color indexed="81"/>
            <rFont val="Segoe UI"/>
            <charset val="1"/>
          </rPr>
          <t>R75014 RAKIA:</t>
        </r>
        <r>
          <rPr>
            <sz val="9"/>
            <color indexed="81"/>
            <rFont val="Segoe UI"/>
            <charset val="1"/>
          </rPr>
          <t xml:space="preserve">
Selecione para dividir em mais vias (apenas funcional para 2 vias no momento)</t>
        </r>
      </text>
    </comment>
    <comment ref="X3" authorId="0" shapeId="0" xr:uid="{C35C9617-9CD3-4BE8-84DB-60C82B4DB382}">
      <text>
        <r>
          <rPr>
            <b/>
            <sz val="9"/>
            <color indexed="81"/>
            <rFont val="Segoe UI"/>
            <charset val="1"/>
          </rPr>
          <t>R75014 RAKIA:</t>
        </r>
        <r>
          <rPr>
            <sz val="9"/>
            <color indexed="81"/>
            <rFont val="Segoe UI"/>
            <charset val="1"/>
          </rPr>
          <t xml:space="preserve">
Selecione um método de instalação</t>
        </r>
      </text>
    </comment>
    <comment ref="Y3" authorId="1" shapeId="0" xr:uid="{00000000-0006-0000-0000-000001000000}">
      <text>
        <r>
          <rPr>
            <b/>
            <sz val="9"/>
            <color indexed="81"/>
            <rFont val="Segoe UI"/>
            <family val="2"/>
          </rPr>
          <t>R75003 Rakia:</t>
        </r>
        <r>
          <rPr>
            <sz val="9"/>
            <color indexed="81"/>
            <rFont val="Segoe UI"/>
            <family val="2"/>
          </rPr>
          <t xml:space="preserve">
Fator de correção por agrupamento</t>
        </r>
      </text>
    </comment>
    <comment ref="Z3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R75003 Rakia:</t>
        </r>
        <r>
          <rPr>
            <sz val="9"/>
            <color indexed="81"/>
            <rFont val="Segoe UI"/>
            <family val="2"/>
          </rPr>
          <t xml:space="preserve">
Fator de correção por temperatura</t>
        </r>
      </text>
    </comment>
    <comment ref="U4" authorId="0" shapeId="0" xr:uid="{3DBCD1FC-2206-4EB5-BBBE-21FEEABC5579}">
      <text>
        <r>
          <rPr>
            <b/>
            <sz val="9"/>
            <color indexed="81"/>
            <rFont val="Segoe UI"/>
            <charset val="1"/>
          </rPr>
          <t>R75014 RAKIA:</t>
        </r>
        <r>
          <rPr>
            <sz val="9"/>
            <color indexed="81"/>
            <rFont val="Segoe UI"/>
            <charset val="1"/>
          </rPr>
          <t xml:space="preserve">
Selecione uma forma de agrupamento</t>
        </r>
      </text>
    </comment>
    <comment ref="N5" authorId="2" shapeId="0" xr:uid="{6F056F19-CCBD-4EEE-9E62-78ED6A8423BC}">
      <text>
        <r>
          <rPr>
            <b/>
            <sz val="9"/>
            <color indexed="81"/>
            <rFont val="Segoe UI"/>
            <charset val="1"/>
          </rPr>
          <t>Gustavo Zanetti:</t>
        </r>
        <r>
          <rPr>
            <sz val="9"/>
            <color indexed="81"/>
            <rFont val="Segoe UI"/>
            <charset val="1"/>
          </rPr>
          <t xml:space="preserve">
Não levar em consideração Divisão de fase, apenas circuitos</t>
        </r>
      </text>
    </comment>
    <comment ref="Y21" authorId="1" shapeId="0" xr:uid="{00000000-0006-0000-0000-000003000000}">
      <text>
        <r>
          <rPr>
            <b/>
            <sz val="9"/>
            <color indexed="81"/>
            <rFont val="Segoe UI"/>
            <family val="2"/>
          </rPr>
          <t>R75003 Rakia:</t>
        </r>
        <r>
          <rPr>
            <sz val="9"/>
            <color indexed="81"/>
            <rFont val="Segoe UI"/>
            <family val="2"/>
          </rPr>
          <t xml:space="preserve">
Fator de correção por agrupamento</t>
        </r>
      </text>
    </comment>
    <comment ref="Z21" authorId="1" shapeId="0" xr:uid="{00000000-0006-0000-0000-000004000000}">
      <text>
        <r>
          <rPr>
            <b/>
            <sz val="9"/>
            <color indexed="81"/>
            <rFont val="Segoe UI"/>
            <family val="2"/>
          </rPr>
          <t>R75003 Rakia:</t>
        </r>
        <r>
          <rPr>
            <sz val="9"/>
            <color indexed="81"/>
            <rFont val="Segoe UI"/>
            <family val="2"/>
          </rPr>
          <t xml:space="preserve">
Fator de correção por temperatura</t>
        </r>
      </text>
    </comment>
    <comment ref="D49" authorId="0" shapeId="0" xr:uid="{71D8BA6D-FF71-4841-AA87-2F993FF76C02}">
      <text>
        <r>
          <rPr>
            <b/>
            <sz val="9"/>
            <color indexed="81"/>
            <rFont val="Segoe UI"/>
            <charset val="1"/>
          </rPr>
          <t>R75014 RAKIA:</t>
        </r>
        <r>
          <rPr>
            <sz val="9"/>
            <color indexed="81"/>
            <rFont val="Segoe UI"/>
            <charset val="1"/>
          </rPr>
          <t xml:space="preserve">
SELECIONE UM DADO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R75014 RAKIA</author>
  </authors>
  <commentList>
    <comment ref="J10" authorId="0" shapeId="0" xr:uid="{3AE6DFFA-E29F-4F4D-9A26-7F0C4BC23CA5}">
      <text>
        <r>
          <rPr>
            <b/>
            <sz val="9"/>
            <color indexed="81"/>
            <rFont val="Segoe UI"/>
            <family val="2"/>
          </rPr>
          <t>R75014 RAKIA:</t>
        </r>
        <r>
          <rPr>
            <sz val="9"/>
            <color indexed="81"/>
            <rFont val="Segoe UI"/>
            <family val="2"/>
          </rPr>
          <t xml:space="preserve">
              &gt;&gt; Em teste &lt;&lt;
Para definir o fator siga os passos:
&gt; Defina em "Local" o tipo de ambiente.
&gt; Defina a "Temperatura" do local.
&gt; Defina em "Cabo" o tipo de cabo.
Obs.: Todas as células tem seleção por lista dinâmica, mas também podem ser digitadas.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Gustavo Zanetti</author>
  </authors>
  <commentList>
    <comment ref="A6" authorId="0" shapeId="0" xr:uid="{468BE2C3-3C34-4B35-8178-3E8235DD4AAF}">
      <text>
        <r>
          <rPr>
            <b/>
            <sz val="9"/>
            <color indexed="81"/>
            <rFont val="Segoe UI"/>
            <family val="2"/>
          </rPr>
          <t>Gustavo Zanetti:</t>
        </r>
        <r>
          <rPr>
            <sz val="9"/>
            <color indexed="81"/>
            <rFont val="Segoe UI"/>
            <family val="2"/>
          </rPr>
          <t xml:space="preserve">
Referência de localização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BA4C55-343B-4AE0-9987-74387AED4A85}" keepAlive="1" name="Consulta - Planilha1" description="Conexão com a consulta 'Planilha1' na pasta de trabalho." type="5" refreshedVersion="6" background="1" saveData="1">
    <dbPr connection="Provider=Microsoft.Mashup.OleDb.1;Data Source=$Workbook$;Location=Planilha1;Extended Properties=&quot;&quot;" command="SELECT * FROM [Planilha1]"/>
  </connection>
</connections>
</file>

<file path=xl/sharedStrings.xml><?xml version="1.0" encoding="utf-8"?>
<sst xmlns="http://schemas.openxmlformats.org/spreadsheetml/2006/main" count="898" uniqueCount="331">
  <si>
    <t>Resistividade do cobre a 20ºC</t>
  </si>
  <si>
    <r>
      <t>ρ</t>
    </r>
    <r>
      <rPr>
        <vertAlign val="subscript"/>
        <sz val="12"/>
        <color theme="1"/>
        <rFont val="Calibri"/>
        <family val="2"/>
      </rPr>
      <t>Cu,20ºC</t>
    </r>
  </si>
  <si>
    <t>Ω.mm²/m</t>
  </si>
  <si>
    <t>Coeficiente de variação da temperatura</t>
  </si>
  <si>
    <r>
      <t>α</t>
    </r>
    <r>
      <rPr>
        <vertAlign val="subscript"/>
        <sz val="11"/>
        <color theme="1"/>
        <rFont val="Calibri"/>
        <family val="2"/>
      </rPr>
      <t>Cu</t>
    </r>
  </si>
  <si>
    <t>=</t>
  </si>
  <si>
    <t>1/ºC</t>
  </si>
  <si>
    <t>ºC</t>
  </si>
  <si>
    <t>ρ(T)</t>
  </si>
  <si>
    <t>ΔV</t>
  </si>
  <si>
    <t>m</t>
  </si>
  <si>
    <t>A</t>
  </si>
  <si>
    <t>Seção transversal do cabo</t>
  </si>
  <si>
    <t>mm²</t>
  </si>
  <si>
    <t>V</t>
  </si>
  <si>
    <t>Queda de tensão (V)</t>
  </si>
  <si>
    <t>Queda de tensão (%)</t>
  </si>
  <si>
    <r>
      <t>ΔV</t>
    </r>
    <r>
      <rPr>
        <vertAlign val="subscript"/>
        <sz val="11"/>
        <color theme="1"/>
        <rFont val="Calibri"/>
        <family val="2"/>
      </rPr>
      <t>%</t>
    </r>
  </si>
  <si>
    <t>Dados de entrada</t>
  </si>
  <si>
    <t>Comprimento do circuito:</t>
  </si>
  <si>
    <t>Corrente de projeto do circuito</t>
  </si>
  <si>
    <r>
      <t>I</t>
    </r>
    <r>
      <rPr>
        <vertAlign val="subscript"/>
        <sz val="11"/>
        <color theme="1"/>
        <rFont val="Calibri"/>
        <family val="2"/>
        <scheme val="minor"/>
      </rPr>
      <t>c</t>
    </r>
  </si>
  <si>
    <r>
      <t>L</t>
    </r>
    <r>
      <rPr>
        <vertAlign val="subscript"/>
        <sz val="11"/>
        <color theme="1"/>
        <rFont val="Calibri"/>
        <family val="2"/>
        <scheme val="minor"/>
      </rPr>
      <t>c</t>
    </r>
  </si>
  <si>
    <t>Tensão de linha do circuito</t>
  </si>
  <si>
    <r>
      <t>V</t>
    </r>
    <r>
      <rPr>
        <vertAlign val="subscript"/>
        <sz val="11"/>
        <color theme="1"/>
        <rFont val="Calibri"/>
        <family val="2"/>
        <scheme val="minor"/>
      </rPr>
      <t>L</t>
    </r>
  </si>
  <si>
    <r>
      <t>S</t>
    </r>
    <r>
      <rPr>
        <vertAlign val="subscript"/>
        <sz val="11"/>
        <color theme="1"/>
        <rFont val="Calibri"/>
        <family val="2"/>
        <scheme val="minor"/>
      </rPr>
      <t>c</t>
    </r>
  </si>
  <si>
    <t>Saída</t>
  </si>
  <si>
    <t>Constantes</t>
  </si>
  <si>
    <t>Temperatura máxima</t>
  </si>
  <si>
    <r>
      <t>Resistividade do Cobre para T</t>
    </r>
    <r>
      <rPr>
        <vertAlign val="subscript"/>
        <sz val="11"/>
        <color theme="1"/>
        <rFont val="Calibri"/>
        <family val="2"/>
        <scheme val="minor"/>
      </rPr>
      <t>max</t>
    </r>
  </si>
  <si>
    <r>
      <t>T</t>
    </r>
    <r>
      <rPr>
        <vertAlign val="subscript"/>
        <sz val="11"/>
        <color theme="1"/>
        <rFont val="Calibri"/>
        <family val="2"/>
        <scheme val="minor"/>
      </rPr>
      <t>max</t>
    </r>
  </si>
  <si>
    <t>%</t>
  </si>
  <si>
    <t>Número de condutores em paralelo por fase</t>
  </si>
  <si>
    <r>
      <t>N</t>
    </r>
    <r>
      <rPr>
        <vertAlign val="subscript"/>
        <sz val="11"/>
        <color theme="1"/>
        <rFont val="Calibri"/>
        <family val="2"/>
        <scheme val="minor"/>
      </rPr>
      <t>CP</t>
    </r>
  </si>
  <si>
    <t>Resistência do condutor</t>
  </si>
  <si>
    <r>
      <t>R</t>
    </r>
    <r>
      <rPr>
        <vertAlign val="subscript"/>
        <sz val="11"/>
        <color theme="1"/>
        <rFont val="Calibri"/>
        <family val="2"/>
        <scheme val="minor"/>
      </rPr>
      <t>c</t>
    </r>
  </si>
  <si>
    <t>Reatância do condutor</t>
  </si>
  <si>
    <r>
      <t>X</t>
    </r>
    <r>
      <rPr>
        <vertAlign val="subscript"/>
        <sz val="11"/>
        <color theme="1"/>
        <rFont val="Calibri"/>
        <family val="2"/>
        <scheme val="minor"/>
      </rPr>
      <t>c</t>
    </r>
  </si>
  <si>
    <t>mΩ/m</t>
  </si>
  <si>
    <t>Fator de potência</t>
  </si>
  <si>
    <t>FP</t>
  </si>
  <si>
    <t>Resistencia (mΩ/m)</t>
  </si>
  <si>
    <t>Reatância (mΩ/m)</t>
  </si>
  <si>
    <t>Seção (mm²)</t>
  </si>
  <si>
    <t>Cabos de cobre</t>
  </si>
  <si>
    <t>Tensão nominal</t>
  </si>
  <si>
    <t>Queda de tensão em cabos de cobre para circuito CC e monofásico</t>
  </si>
  <si>
    <t>Queda de tensão em cabos de cobre para circuito trifásico com cabos até 25mm²</t>
  </si>
  <si>
    <t>Queda de tensão em cabos de cobre para circuito trifásico com cabos maiores que 25mm²</t>
  </si>
  <si>
    <t>Resistividade do aluminio a 20ºC</t>
  </si>
  <si>
    <r>
      <t>ρ</t>
    </r>
    <r>
      <rPr>
        <vertAlign val="subscript"/>
        <sz val="12"/>
        <color theme="1"/>
        <rFont val="Calibri"/>
        <family val="2"/>
      </rPr>
      <t>Al,20ºC</t>
    </r>
  </si>
  <si>
    <r>
      <t>α</t>
    </r>
    <r>
      <rPr>
        <vertAlign val="subscript"/>
        <sz val="11"/>
        <color theme="1"/>
        <rFont val="Calibri"/>
        <family val="2"/>
      </rPr>
      <t>Al</t>
    </r>
  </si>
  <si>
    <t>Resistividade do alumínio a 20ºC</t>
  </si>
  <si>
    <r>
      <t>Resistividade do Alumínio para T</t>
    </r>
    <r>
      <rPr>
        <vertAlign val="subscript"/>
        <sz val="11"/>
        <color theme="1"/>
        <rFont val="Calibri"/>
        <family val="2"/>
        <scheme val="minor"/>
      </rPr>
      <t>max</t>
    </r>
  </si>
  <si>
    <t>Cabos de alumínio</t>
  </si>
  <si>
    <t>Queda de tensão em cabos de alumínio para circuito CC e monofásico</t>
  </si>
  <si>
    <t>Queda de tensão em cabos de alumínio para circuito trifásico com cabos até 25mm²</t>
  </si>
  <si>
    <t>Queda de tensão em cabos de alumínio para circuito trifásico com cabos maiores que 25mm²</t>
  </si>
  <si>
    <t>Circuito</t>
  </si>
  <si>
    <t>Nº Circuito</t>
  </si>
  <si>
    <t>Descrição</t>
  </si>
  <si>
    <t>Esquema</t>
  </si>
  <si>
    <t>Fase</t>
  </si>
  <si>
    <t>Cond. Carregados</t>
  </si>
  <si>
    <t>F.C. A.</t>
  </si>
  <si>
    <t>F.C.T.</t>
  </si>
  <si>
    <t>Fatores de correção</t>
  </si>
  <si>
    <t>Queda de tensão</t>
  </si>
  <si>
    <t>Condulete</t>
  </si>
  <si>
    <t>Resultados</t>
  </si>
  <si>
    <t>Circuitos agrupados</t>
  </si>
  <si>
    <t>Temperatura (ºC)</t>
  </si>
  <si>
    <t>Seção transversal (mm²)</t>
  </si>
  <si>
    <t>Capacidade de condução do cabo (A)</t>
  </si>
  <si>
    <t>Comprimento do circuito (m)</t>
  </si>
  <si>
    <t>Corrente máxima (A)</t>
  </si>
  <si>
    <t>OBS</t>
  </si>
  <si>
    <t>Corrente corrigida (A)</t>
  </si>
  <si>
    <t>Fator de ocupação</t>
  </si>
  <si>
    <t>PVC (750V - 70°C)</t>
  </si>
  <si>
    <t>EPR (1kV - 90ºC)</t>
  </si>
  <si>
    <t>Diâmetro externo (mm)</t>
  </si>
  <si>
    <t>Área da seção (mm²)</t>
  </si>
  <si>
    <t>Diâmetro externo dos cabos</t>
  </si>
  <si>
    <t>Cálculo da seção transversal</t>
  </si>
  <si>
    <t>Quantidade de condutores</t>
  </si>
  <si>
    <t>PVC</t>
  </si>
  <si>
    <t>EPR</t>
  </si>
  <si>
    <t>Resultado</t>
  </si>
  <si>
    <t>Total</t>
  </si>
  <si>
    <t>Eletroduto/duto corrugado</t>
  </si>
  <si>
    <t>Seção EPR (mm²)</t>
  </si>
  <si>
    <t>Total (mm²)</t>
  </si>
  <si>
    <t>Seção PVC (mm²)</t>
  </si>
  <si>
    <t>1.1/4</t>
  </si>
  <si>
    <t>1.1/2</t>
  </si>
  <si>
    <t>Diâmetro interno (mm)</t>
  </si>
  <si>
    <t>Área da seção interna (mm²)</t>
  </si>
  <si>
    <t>Ocupação</t>
  </si>
  <si>
    <t>Eletrocalha</t>
  </si>
  <si>
    <t>Bitola (mm²)</t>
  </si>
  <si>
    <t>Altura (mm)</t>
  </si>
  <si>
    <t>Largura (mm)</t>
  </si>
  <si>
    <t>Área utilizável (mm²)</t>
  </si>
  <si>
    <t>Nº Fases</t>
  </si>
  <si>
    <t>Proteção (A)</t>
  </si>
  <si>
    <t>Nº condulete</t>
  </si>
  <si>
    <t>Corrente alternada</t>
  </si>
  <si>
    <t>Corrente contínua</t>
  </si>
  <si>
    <t>S1</t>
  </si>
  <si>
    <t>S2</t>
  </si>
  <si>
    <t>String 1</t>
  </si>
  <si>
    <t>String 2</t>
  </si>
  <si>
    <t>CC</t>
  </si>
  <si>
    <t>Nº Módulos</t>
  </si>
  <si>
    <t>Inversor</t>
  </si>
  <si>
    <t>MPPT</t>
  </si>
  <si>
    <t>Tensão mínima (V)</t>
  </si>
  <si>
    <t>Método Instalação</t>
  </si>
  <si>
    <t>Corrente Imp (A)</t>
  </si>
  <si>
    <t>N</t>
  </si>
  <si>
    <t>PE</t>
  </si>
  <si>
    <t>Tensão Máxima (V)</t>
  </si>
  <si>
    <t xml:space="preserve">                    </t>
  </si>
  <si>
    <t xml:space="preserve">                                </t>
  </si>
  <si>
    <t>S3</t>
  </si>
  <si>
    <t>String 3</t>
  </si>
  <si>
    <t>Temperatura ºC</t>
  </si>
  <si>
    <t>Ambiente</t>
  </si>
  <si>
    <t>Isolação</t>
  </si>
  <si>
    <t>Fator -&gt;</t>
  </si>
  <si>
    <t>Do solo</t>
  </si>
  <si>
    <t>Local -&gt;</t>
  </si>
  <si>
    <t xml:space="preserve">Isolação </t>
  </si>
  <si>
    <t>-</t>
  </si>
  <si>
    <t>Ref.</t>
  </si>
  <si>
    <t xml:space="preserve">Forma de agrupamento dos condutores </t>
  </si>
  <si>
    <t>Número de circuitos ou de cabos multipolares</t>
  </si>
  <si>
    <t>Métodos de referência</t>
  </si>
  <si>
    <t>Número de condutores carregados</t>
  </si>
  <si>
    <t>seções nominais mm²</t>
  </si>
  <si>
    <t>Cobre</t>
  </si>
  <si>
    <t>Temperatura -&gt;</t>
  </si>
  <si>
    <t>De solo</t>
  </si>
  <si>
    <t>(1) Em feixe; ao ar livre ou sobre superfícia; embutidos; em conduto fechado</t>
  </si>
  <si>
    <t>(2) Camada única sobre parede, piso, ou em bandeja não perfurada ou prateleira</t>
  </si>
  <si>
    <t>(3) Camada única no teto</t>
  </si>
  <si>
    <t>(4) Camada única em bandeja</t>
  </si>
  <si>
    <t>(5) Camada única sobre leito, suporte, etc.</t>
  </si>
  <si>
    <t>Cabo -&gt;</t>
  </si>
  <si>
    <t>A1 (2)</t>
  </si>
  <si>
    <t>A1 (3)</t>
  </si>
  <si>
    <t>A2 (2)</t>
  </si>
  <si>
    <t>A2 (3)</t>
  </si>
  <si>
    <t>B1 (2)</t>
  </si>
  <si>
    <t>B1 (3)</t>
  </si>
  <si>
    <t>B2 (2)</t>
  </si>
  <si>
    <t>B2 (3)</t>
  </si>
  <si>
    <t>C (2)</t>
  </si>
  <si>
    <t>C (3)</t>
  </si>
  <si>
    <t>D (2)</t>
  </si>
  <si>
    <t>D (3)</t>
  </si>
  <si>
    <t>Tensão de VOC [V]</t>
  </si>
  <si>
    <t>Potência [kWp]</t>
  </si>
  <si>
    <t>Fator de correção por Temperatura</t>
  </si>
  <si>
    <t>Dados módulo</t>
  </si>
  <si>
    <t xml:space="preserve">Potência </t>
  </si>
  <si>
    <t>Maximum power voltage Vmpp [V]</t>
  </si>
  <si>
    <t>Maximum power current Impp</t>
  </si>
  <si>
    <t>Open circuit voltage Voc</t>
  </si>
  <si>
    <t>Short circuit current Isc</t>
  </si>
  <si>
    <t>Module efficiency n</t>
  </si>
  <si>
    <t>R</t>
  </si>
  <si>
    <t>S</t>
  </si>
  <si>
    <t>T</t>
  </si>
  <si>
    <t>TABELA PARA CABOS EPR</t>
  </si>
  <si>
    <t>Seção dos condutores de fase mm²</t>
  </si>
  <si>
    <t>Seção reduzida do condutor neutro mm²</t>
  </si>
  <si>
    <t>Seção dos condutores de fase S mm²</t>
  </si>
  <si>
    <t>Seção mínima do condutor de proteção correspondente mm²</t>
  </si>
  <si>
    <t>Tabela 48 - Seção reduzida do condutor neutro</t>
  </si>
  <si>
    <t>Tabela 58 - Seção mínima do condutor de proteção</t>
  </si>
  <si>
    <t>Seção reduzida do neutro</t>
  </si>
  <si>
    <t>S&lt;=16</t>
  </si>
  <si>
    <t>16&lt;S&lt;=35</t>
  </si>
  <si>
    <t>S&gt;35</t>
  </si>
  <si>
    <t>S*0,5</t>
  </si>
  <si>
    <t>NÃO EXCLUIR, REF PARA TABELA DINÂMICA</t>
  </si>
  <si>
    <t>B1</t>
  </si>
  <si>
    <t>Modelo</t>
  </si>
  <si>
    <t>MAX. DC Input Power</t>
  </si>
  <si>
    <t>Max. DC Input Voltage</t>
  </si>
  <si>
    <t>Max.input current</t>
  </si>
  <si>
    <t>No of input strings per tracker</t>
  </si>
  <si>
    <t>Nominal output power</t>
  </si>
  <si>
    <t>Max output apparent power</t>
  </si>
  <si>
    <t xml:space="preserve">Comprimento das strings </t>
  </si>
  <si>
    <t>Positivo</t>
  </si>
  <si>
    <t>Negativo</t>
  </si>
  <si>
    <t>terra modulos</t>
  </si>
  <si>
    <t xml:space="preserve">Circuito </t>
  </si>
  <si>
    <t>Local</t>
  </si>
  <si>
    <t>Temperatura</t>
  </si>
  <si>
    <t>SUN2000-60KTL-M0</t>
  </si>
  <si>
    <t>Huawei</t>
  </si>
  <si>
    <t>RST</t>
  </si>
  <si>
    <t>S4</t>
  </si>
  <si>
    <t>S5</t>
  </si>
  <si>
    <t>S6</t>
  </si>
  <si>
    <t>S7</t>
  </si>
  <si>
    <t>S8</t>
  </si>
  <si>
    <t>S9</t>
  </si>
  <si>
    <t>S10</t>
  </si>
  <si>
    <t>S11</t>
  </si>
  <si>
    <t>Potência  aparente [VA]</t>
  </si>
  <si>
    <t>Column1</t>
  </si>
  <si>
    <t>Column2</t>
  </si>
  <si>
    <t>Disjuntor</t>
  </si>
  <si>
    <t>SUN2000-2KTL</t>
  </si>
  <si>
    <t>MDWH-C20-2</t>
  </si>
  <si>
    <t>SUN2000-3KTL</t>
  </si>
  <si>
    <t>MDWH-C25-2</t>
  </si>
  <si>
    <t>SUN2000-4KTL</t>
  </si>
  <si>
    <t>MDWH-C40-2</t>
  </si>
  <si>
    <t>SUN2000-5KTL</t>
  </si>
  <si>
    <t>MDWH-C50-2</t>
  </si>
  <si>
    <t>SUN2000-12KTL-M0</t>
  </si>
  <si>
    <t>MDWH-C40-3</t>
  </si>
  <si>
    <t>SUN2000-15KTL-M0</t>
  </si>
  <si>
    <t>MDWH-C50-3</t>
  </si>
  <si>
    <t>SUN2000-20KTL-M0</t>
  </si>
  <si>
    <t>MDWH-C63-3</t>
  </si>
  <si>
    <t>SUN2000-33KTL-A</t>
  </si>
  <si>
    <t>MDWH-C80-3</t>
  </si>
  <si>
    <t>SUN2000-36KTL</t>
  </si>
  <si>
    <t>MDWH-C100-3</t>
  </si>
  <si>
    <t>SUN2000-36KTL (40 KW)</t>
  </si>
  <si>
    <t>DWB160B125-3DX</t>
  </si>
  <si>
    <t>Column3</t>
  </si>
  <si>
    <t>Sunova 415Wp</t>
  </si>
  <si>
    <t>2x240</t>
  </si>
  <si>
    <t>2x185</t>
  </si>
  <si>
    <t>2x150</t>
  </si>
  <si>
    <t>2x120</t>
  </si>
  <si>
    <t>2x95</t>
  </si>
  <si>
    <t>2x70</t>
  </si>
  <si>
    <t>2x50</t>
  </si>
  <si>
    <t>2x35</t>
  </si>
  <si>
    <t>2x25</t>
  </si>
  <si>
    <t>2x16</t>
  </si>
  <si>
    <t>2x10</t>
  </si>
  <si>
    <t>2x6</t>
  </si>
  <si>
    <t>2x4</t>
  </si>
  <si>
    <t>2x2,5</t>
  </si>
  <si>
    <t>2x1,5</t>
  </si>
  <si>
    <t>2x1</t>
  </si>
  <si>
    <t>2x0,75</t>
  </si>
  <si>
    <t>2x0,5</t>
  </si>
  <si>
    <t>TABELA PARA CABOS EPR PARA 2 VIAS</t>
  </si>
  <si>
    <t>3x240</t>
  </si>
  <si>
    <t>3x185</t>
  </si>
  <si>
    <t>3x150</t>
  </si>
  <si>
    <t>3x120</t>
  </si>
  <si>
    <t>3x95</t>
  </si>
  <si>
    <t>3x70</t>
  </si>
  <si>
    <t>3x50</t>
  </si>
  <si>
    <t>3x35</t>
  </si>
  <si>
    <t>3x25</t>
  </si>
  <si>
    <t>3x16</t>
  </si>
  <si>
    <t>3x10</t>
  </si>
  <si>
    <t>3x6</t>
  </si>
  <si>
    <t>3x4</t>
  </si>
  <si>
    <t>3x2,5</t>
  </si>
  <si>
    <t>3x1,5</t>
  </si>
  <si>
    <t>3x1</t>
  </si>
  <si>
    <t>3x0,75</t>
  </si>
  <si>
    <t>3x0,5</t>
  </si>
  <si>
    <t>TABELA PARA CABOS EPR PARA 3 VIAS</t>
  </si>
  <si>
    <t>String 4</t>
  </si>
  <si>
    <t>String 5</t>
  </si>
  <si>
    <t>String 8</t>
  </si>
  <si>
    <t>String 9</t>
  </si>
  <si>
    <t>String 10</t>
  </si>
  <si>
    <t>String 11</t>
  </si>
  <si>
    <t>caminho até inversor</t>
  </si>
  <si>
    <t>descida telhado fibro</t>
  </si>
  <si>
    <t>metálico</t>
  </si>
  <si>
    <t>fibrocimento</t>
  </si>
  <si>
    <t>String 6</t>
  </si>
  <si>
    <t>String 7</t>
  </si>
  <si>
    <t>mais emendas</t>
  </si>
  <si>
    <t>total</t>
  </si>
  <si>
    <t>mais 15%</t>
  </si>
  <si>
    <t>String mais longa</t>
  </si>
  <si>
    <t>Fator de correção por agrupamento</t>
  </si>
  <si>
    <t>Forma de agrupamento</t>
  </si>
  <si>
    <t>Disjuntor [A]</t>
  </si>
  <si>
    <t>Dividir fase em mais vias</t>
  </si>
  <si>
    <t>Nº de vias</t>
  </si>
  <si>
    <t>Dividir?</t>
  </si>
  <si>
    <t>Método(condutores carregados)</t>
  </si>
  <si>
    <t>Ref p/ localização</t>
  </si>
  <si>
    <t>Corrente corrigida [A]</t>
  </si>
  <si>
    <t>Seção T37</t>
  </si>
  <si>
    <t>Seção Se Erro</t>
  </si>
  <si>
    <t>Seção Final</t>
  </si>
  <si>
    <t>Seção se disjuntor maior</t>
  </si>
  <si>
    <t>Seção reduzida do terra</t>
  </si>
  <si>
    <t>Não</t>
  </si>
  <si>
    <t>Seção</t>
  </si>
  <si>
    <t>Capacidade de condução</t>
  </si>
  <si>
    <t>Capacidade de condução fase</t>
  </si>
  <si>
    <t>Capacidade de condução neutro</t>
  </si>
  <si>
    <t>Capacidade de condução terra</t>
  </si>
  <si>
    <t>Capacidade de condução se corrigido com disjuntor</t>
  </si>
  <si>
    <t>Forma de agrup.</t>
  </si>
  <si>
    <t>Fator</t>
  </si>
  <si>
    <t>Divisor de Fase Circuito</t>
  </si>
  <si>
    <t>Cabo</t>
  </si>
  <si>
    <t>Método de instalação</t>
  </si>
  <si>
    <t xml:space="preserve"> </t>
  </si>
  <si>
    <t>Ref. 1</t>
  </si>
  <si>
    <t>Ref. 2</t>
  </si>
  <si>
    <t>Ref. 3</t>
  </si>
  <si>
    <t>Ref. 4</t>
  </si>
  <si>
    <t>Ref. 5</t>
  </si>
  <si>
    <t>Nova seção</t>
  </si>
  <si>
    <t>D</t>
  </si>
  <si>
    <t>Sim</t>
  </si>
  <si>
    <t>2 Vias</t>
  </si>
  <si>
    <t>Inversor MAX 100KTL3-X 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</si>
</sst>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2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Dashed">
        <color theme="7"/>
      </bottom>
      <diagonal/>
    </border>
    <border>
      <left/>
      <right style="mediumDashed">
        <color theme="7"/>
      </right>
      <top/>
      <bottom/>
      <diagonal/>
    </border>
    <border>
      <left style="thin">
        <color indexed="64"/>
      </left>
      <right style="mediumDashed">
        <color theme="7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theme="7"/>
      </right>
      <top/>
      <bottom style="thin">
        <color indexed="64"/>
      </bottom>
      <diagonal/>
    </border>
    <border>
      <left/>
      <right style="mediumDashed">
        <color theme="7"/>
      </right>
      <top style="medium">
        <color indexed="64"/>
      </top>
      <bottom style="medium">
        <color indexed="64"/>
      </bottom>
      <diagonal/>
    </border>
    <border>
      <left/>
      <right style="mediumDashed">
        <color theme="7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Dashed">
        <color theme="7"/>
      </bottom>
      <diagonal/>
    </border>
    <border>
      <left style="mediumDashed">
        <color theme="7"/>
      </left>
      <right/>
      <top/>
      <bottom/>
      <diagonal/>
    </border>
    <border>
      <left/>
      <right/>
      <top/>
      <bottom style="mediumDashed">
        <color theme="7"/>
      </bottom>
      <diagonal/>
    </border>
    <border>
      <left style="medium">
        <color rgb="FFFF0000"/>
      </left>
      <right style="medium">
        <color indexed="64"/>
      </right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 style="medium">
        <color rgb="FFFF0000"/>
      </bottom>
      <diagonal/>
    </border>
    <border>
      <left/>
      <right/>
      <top style="medium">
        <color indexed="64"/>
      </top>
      <bottom style="medium">
        <color rgb="FFFF0000"/>
      </bottom>
      <diagonal/>
    </border>
    <border>
      <left/>
      <right style="medium">
        <color rgb="FFFF0000"/>
      </right>
      <top style="medium">
        <color indexed="64"/>
      </top>
      <bottom style="medium">
        <color rgb="FFFF0000"/>
      </bottom>
      <diagonal/>
    </border>
    <border>
      <left style="medium">
        <color rgb="FF7030A0"/>
      </left>
      <right style="medium">
        <color indexed="64"/>
      </right>
      <top style="medium">
        <color rgb="FF7030A0"/>
      </top>
      <bottom/>
      <diagonal/>
    </border>
    <border>
      <left style="medium">
        <color indexed="64"/>
      </left>
      <right/>
      <top style="medium">
        <color rgb="FF7030A0"/>
      </top>
      <bottom style="medium">
        <color indexed="64"/>
      </bottom>
      <diagonal/>
    </border>
    <border>
      <left/>
      <right/>
      <top style="medium">
        <color rgb="FF7030A0"/>
      </top>
      <bottom style="medium">
        <color indexed="64"/>
      </bottom>
      <diagonal/>
    </border>
    <border>
      <left/>
      <right style="medium">
        <color rgb="FF7030A0"/>
      </right>
      <top style="medium">
        <color rgb="FF7030A0"/>
      </top>
      <bottom style="medium">
        <color indexed="64"/>
      </bottom>
      <diagonal/>
    </border>
    <border>
      <left style="medium">
        <color rgb="FF7030A0"/>
      </left>
      <right style="medium">
        <color indexed="64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medium">
        <color indexed="64"/>
      </right>
      <top/>
      <bottom style="medium">
        <color indexed="64"/>
      </bottom>
      <diagonal/>
    </border>
    <border>
      <left style="medium">
        <color rgb="FF7030A0"/>
      </left>
      <right/>
      <top/>
      <bottom/>
      <diagonal/>
    </border>
    <border>
      <left style="medium">
        <color rgb="FF7030A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7030A0"/>
      </right>
      <top style="thin">
        <color indexed="64"/>
      </top>
      <bottom style="thin">
        <color indexed="64"/>
      </bottom>
      <diagonal/>
    </border>
    <border>
      <left/>
      <right style="medium">
        <color rgb="FF7030A0"/>
      </right>
      <top style="medium">
        <color indexed="64"/>
      </top>
      <bottom style="medium">
        <color indexed="64"/>
      </bottom>
      <diagonal/>
    </border>
    <border>
      <left style="medium">
        <color rgb="FF7030A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7030A0"/>
      </right>
      <top/>
      <bottom style="thin">
        <color indexed="64"/>
      </bottom>
      <diagonal/>
    </border>
    <border>
      <left style="medium">
        <color rgb="FF7030A0"/>
      </left>
      <right/>
      <top style="medium">
        <color indexed="64"/>
      </top>
      <bottom style="medium">
        <color indexed="64"/>
      </bottom>
      <diagonal/>
    </border>
    <border>
      <left style="medium">
        <color rgb="FF7030A0"/>
      </left>
      <right/>
      <top style="medium">
        <color indexed="64"/>
      </top>
      <bottom style="medium">
        <color rgb="FF7030A0"/>
      </bottom>
      <diagonal/>
    </border>
    <border>
      <left/>
      <right/>
      <top style="medium">
        <color indexed="64"/>
      </top>
      <bottom style="medium">
        <color rgb="FF7030A0"/>
      </bottom>
      <diagonal/>
    </border>
    <border>
      <left/>
      <right style="medium">
        <color rgb="FF7030A0"/>
      </right>
      <top style="medium">
        <color indexed="64"/>
      </top>
      <bottom style="medium">
        <color rgb="FF7030A0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84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7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0" xfId="0" applyAlignment="1">
      <alignment horizontal="right"/>
    </xf>
    <xf numFmtId="0" fontId="0" fillId="0" borderId="10" xfId="0" applyBorder="1"/>
    <xf numFmtId="0" fontId="0" fillId="0" borderId="12" xfId="0" applyBorder="1"/>
    <xf numFmtId="0" fontId="0" fillId="0" borderId="12" xfId="0" applyBorder="1" applyAlignment="1">
      <alignment horizontal="right"/>
    </xf>
    <xf numFmtId="0" fontId="0" fillId="0" borderId="13" xfId="0" applyBorder="1"/>
    <xf numFmtId="0" fontId="5" fillId="0" borderId="7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12" xfId="0" applyFont="1" applyBorder="1" applyAlignment="1">
      <alignment horizontal="left"/>
    </xf>
    <xf numFmtId="0" fontId="1" fillId="0" borderId="7" xfId="0" applyFont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7" fillId="0" borderId="7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0" fillId="0" borderId="0" xfId="0" applyProtection="1">
      <protection locked="0"/>
    </xf>
    <xf numFmtId="0" fontId="6" fillId="3" borderId="20" xfId="0" applyFont="1" applyFill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 applyProtection="1">
      <alignment horizontal="center" vertical="center" wrapText="1"/>
      <protection locked="0"/>
    </xf>
    <xf numFmtId="0" fontId="6" fillId="3" borderId="20" xfId="0" applyFont="1" applyFill="1" applyBorder="1" applyAlignment="1" applyProtection="1">
      <alignment horizontal="center" vertical="center" wrapText="1"/>
      <protection locked="0"/>
    </xf>
    <xf numFmtId="0" fontId="6" fillId="3" borderId="22" xfId="0" applyFont="1" applyFill="1" applyBorder="1" applyAlignment="1" applyProtection="1">
      <alignment horizontal="center" vertical="center"/>
      <protection locked="0"/>
    </xf>
    <xf numFmtId="0" fontId="6" fillId="12" borderId="21" xfId="0" applyFont="1" applyFill="1" applyBorder="1" applyAlignment="1" applyProtection="1">
      <alignment horizontal="center" vertical="center" wrapText="1"/>
      <protection locked="0"/>
    </xf>
    <xf numFmtId="0" fontId="0" fillId="11" borderId="20" xfId="0" applyFill="1" applyBorder="1" applyAlignment="1" applyProtection="1">
      <alignment horizontal="center"/>
      <protection locked="0"/>
    </xf>
    <xf numFmtId="0" fontId="0" fillId="11" borderId="21" xfId="0" applyFill="1" applyBorder="1" applyAlignment="1" applyProtection="1">
      <alignment horizontal="center"/>
      <protection locked="0"/>
    </xf>
    <xf numFmtId="2" fontId="0" fillId="11" borderId="22" xfId="0" applyNumberFormat="1" applyFill="1" applyBorder="1" applyAlignment="1" applyProtection="1">
      <alignment horizontal="center"/>
      <protection locked="0"/>
    </xf>
    <xf numFmtId="0" fontId="0" fillId="11" borderId="22" xfId="0" applyFill="1" applyBorder="1" applyAlignment="1" applyProtection="1">
      <alignment horizontal="center"/>
      <protection locked="0"/>
    </xf>
    <xf numFmtId="0" fontId="0" fillId="7" borderId="45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2" fontId="0" fillId="7" borderId="47" xfId="0" applyNumberFormat="1" applyFill="1" applyBorder="1" applyAlignment="1" applyProtection="1">
      <alignment horizontal="center"/>
      <protection locked="0"/>
    </xf>
    <xf numFmtId="0" fontId="0" fillId="7" borderId="47" xfId="0" applyFill="1" applyBorder="1" applyAlignment="1" applyProtection="1">
      <alignment horizontal="center"/>
      <protection locked="0"/>
    </xf>
    <xf numFmtId="0" fontId="0" fillId="11" borderId="45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2" fontId="0" fillId="11" borderId="47" xfId="0" applyNumberFormat="1" applyFill="1" applyBorder="1" applyAlignment="1" applyProtection="1">
      <alignment horizontal="center"/>
      <protection locked="0"/>
    </xf>
    <xf numFmtId="0" fontId="0" fillId="11" borderId="47" xfId="0" applyFill="1" applyBorder="1" applyAlignment="1" applyProtection="1">
      <alignment horizontal="center"/>
      <protection locked="0"/>
    </xf>
    <xf numFmtId="0" fontId="0" fillId="7" borderId="44" xfId="0" applyFill="1" applyBorder="1" applyAlignment="1" applyProtection="1">
      <alignment horizontal="center"/>
      <protection locked="0"/>
    </xf>
    <xf numFmtId="0" fontId="0" fillId="7" borderId="42" xfId="0" applyFill="1" applyBorder="1" applyAlignment="1" applyProtection="1">
      <alignment horizontal="center"/>
      <protection locked="0"/>
    </xf>
    <xf numFmtId="2" fontId="0" fillId="7" borderId="43" xfId="0" applyNumberFormat="1" applyFill="1" applyBorder="1" applyAlignment="1" applyProtection="1">
      <alignment horizontal="center"/>
      <protection locked="0"/>
    </xf>
    <xf numFmtId="0" fontId="0" fillId="7" borderId="43" xfId="0" applyFill="1" applyBorder="1" applyAlignment="1" applyProtection="1">
      <alignment horizontal="center"/>
      <protection locked="0"/>
    </xf>
    <xf numFmtId="10" fontId="0" fillId="7" borderId="42" xfId="1" applyNumberFormat="1" applyFont="1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0" fillId="10" borderId="0" xfId="0" applyFill="1" applyProtection="1">
      <protection locked="0"/>
    </xf>
    <xf numFmtId="0" fontId="6" fillId="4" borderId="0" xfId="0" applyFont="1" applyFill="1" applyAlignment="1" applyProtection="1">
      <alignment horizontal="center"/>
      <protection locked="0"/>
    </xf>
    <xf numFmtId="0" fontId="6" fillId="10" borderId="0" xfId="0" applyFont="1" applyFill="1" applyAlignment="1" applyProtection="1">
      <alignment horizontal="center"/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10" borderId="9" xfId="0" applyFill="1" applyBorder="1" applyProtection="1">
      <protection locked="0"/>
    </xf>
    <xf numFmtId="0" fontId="0" fillId="10" borderId="10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7" xfId="0" applyFill="1" applyBorder="1" applyAlignment="1" applyProtection="1">
      <alignment horizontal="right"/>
      <protection locked="0"/>
    </xf>
    <xf numFmtId="0" fontId="0" fillId="4" borderId="8" xfId="0" applyFill="1" applyBorder="1" applyProtection="1">
      <protection locked="0"/>
    </xf>
    <xf numFmtId="0" fontId="0" fillId="10" borderId="7" xfId="0" applyFill="1" applyBorder="1" applyProtection="1">
      <protection locked="0"/>
    </xf>
    <xf numFmtId="0" fontId="0" fillId="10" borderId="7" xfId="0" applyFill="1" applyBorder="1" applyAlignment="1" applyProtection="1">
      <alignment horizontal="right"/>
      <protection locked="0"/>
    </xf>
    <xf numFmtId="0" fontId="0" fillId="10" borderId="8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4" borderId="12" xfId="0" applyFill="1" applyBorder="1" applyProtection="1">
      <protection locked="0"/>
    </xf>
    <xf numFmtId="0" fontId="0" fillId="4" borderId="12" xfId="0" applyFill="1" applyBorder="1" applyAlignment="1" applyProtection="1">
      <alignment horizontal="right"/>
      <protection locked="0"/>
    </xf>
    <xf numFmtId="0" fontId="0" fillId="4" borderId="13" xfId="0" applyFill="1" applyBorder="1" applyProtection="1">
      <protection locked="0"/>
    </xf>
    <xf numFmtId="0" fontId="0" fillId="10" borderId="12" xfId="0" applyFill="1" applyBorder="1" applyProtection="1">
      <protection locked="0"/>
    </xf>
    <xf numFmtId="0" fontId="0" fillId="10" borderId="12" xfId="0" applyFill="1" applyBorder="1" applyAlignment="1" applyProtection="1">
      <alignment horizontal="right"/>
      <protection locked="0"/>
    </xf>
    <xf numFmtId="0" fontId="0" fillId="10" borderId="13" xfId="0" applyFill="1" applyBorder="1" applyProtection="1">
      <protection locked="0"/>
    </xf>
    <xf numFmtId="0" fontId="0" fillId="4" borderId="0" xfId="0" applyFill="1" applyAlignment="1" applyProtection="1">
      <alignment horizontal="left"/>
      <protection locked="0"/>
    </xf>
    <xf numFmtId="0" fontId="0" fillId="10" borderId="0" xfId="0" applyFill="1" applyAlignment="1" applyProtection="1">
      <alignment horizontal="left"/>
      <protection locked="0"/>
    </xf>
    <xf numFmtId="0" fontId="5" fillId="4" borderId="7" xfId="0" applyFont="1" applyFill="1" applyBorder="1" applyAlignment="1" applyProtection="1">
      <alignment horizontal="left"/>
      <protection locked="0"/>
    </xf>
    <xf numFmtId="0" fontId="5" fillId="10" borderId="7" xfId="0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right"/>
      <protection locked="0"/>
    </xf>
    <xf numFmtId="0" fontId="5" fillId="4" borderId="0" xfId="0" applyFont="1" applyFill="1" applyAlignment="1" applyProtection="1">
      <alignment horizontal="left"/>
      <protection locked="0"/>
    </xf>
    <xf numFmtId="0" fontId="0" fillId="10" borderId="0" xfId="0" applyFill="1" applyAlignment="1" applyProtection="1">
      <alignment horizontal="right"/>
      <protection locked="0"/>
    </xf>
    <xf numFmtId="0" fontId="5" fillId="10" borderId="0" xfId="0" applyFont="1" applyFill="1" applyAlignment="1" applyProtection="1">
      <alignment horizontal="left"/>
      <protection locked="0"/>
    </xf>
    <xf numFmtId="0" fontId="5" fillId="4" borderId="12" xfId="0" applyFont="1" applyFill="1" applyBorder="1" applyAlignment="1" applyProtection="1">
      <alignment horizontal="left"/>
      <protection locked="0"/>
    </xf>
    <xf numFmtId="0" fontId="5" fillId="10" borderId="12" xfId="0" applyFont="1" applyFill="1" applyBorder="1" applyAlignment="1" applyProtection="1">
      <alignment horizontal="left"/>
      <protection locked="0"/>
    </xf>
    <xf numFmtId="0" fontId="1" fillId="4" borderId="8" xfId="0" applyFont="1" applyFill="1" applyBorder="1" applyAlignment="1" applyProtection="1">
      <alignment horizontal="left"/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" fillId="10" borderId="8" xfId="0" applyFont="1" applyFill="1" applyBorder="1" applyAlignment="1" applyProtection="1">
      <alignment horizontal="left"/>
      <protection locked="0"/>
    </xf>
    <xf numFmtId="0" fontId="1" fillId="10" borderId="0" xfId="0" applyFont="1" applyFill="1" applyAlignment="1" applyProtection="1">
      <alignment horizontal="left"/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" fillId="10" borderId="0" xfId="0" applyFont="1" applyFill="1" applyAlignment="1" applyProtection="1">
      <alignment horizontal="right"/>
      <protection locked="0"/>
    </xf>
    <xf numFmtId="0" fontId="1" fillId="4" borderId="12" xfId="0" applyFont="1" applyFill="1" applyBorder="1" applyAlignment="1" applyProtection="1">
      <alignment horizontal="right"/>
      <protection locked="0"/>
    </xf>
    <xf numFmtId="0" fontId="1" fillId="10" borderId="12" xfId="0" applyFont="1" applyFill="1" applyBorder="1" applyAlignment="1" applyProtection="1">
      <alignment horizontal="right"/>
      <protection locked="0"/>
    </xf>
    <xf numFmtId="0" fontId="0" fillId="13" borderId="0" xfId="0" applyFill="1" applyProtection="1">
      <protection locked="0"/>
    </xf>
    <xf numFmtId="0" fontId="6" fillId="13" borderId="0" xfId="0" applyFont="1" applyFill="1" applyAlignment="1" applyProtection="1">
      <alignment horizontal="center"/>
      <protection locked="0"/>
    </xf>
    <xf numFmtId="0" fontId="0" fillId="13" borderId="9" xfId="0" applyFill="1" applyBorder="1" applyProtection="1">
      <protection locked="0"/>
    </xf>
    <xf numFmtId="0" fontId="0" fillId="13" borderId="10" xfId="0" applyFill="1" applyBorder="1" applyProtection="1">
      <protection locked="0"/>
    </xf>
    <xf numFmtId="0" fontId="0" fillId="13" borderId="7" xfId="0" applyFill="1" applyBorder="1" applyProtection="1">
      <protection locked="0"/>
    </xf>
    <xf numFmtId="0" fontId="0" fillId="13" borderId="7" xfId="0" applyFill="1" applyBorder="1" applyAlignment="1" applyProtection="1">
      <alignment horizontal="right"/>
      <protection locked="0"/>
    </xf>
    <xf numFmtId="0" fontId="5" fillId="13" borderId="7" xfId="0" applyFont="1" applyFill="1" applyBorder="1" applyAlignment="1" applyProtection="1">
      <alignment horizontal="left"/>
      <protection locked="0"/>
    </xf>
    <xf numFmtId="0" fontId="0" fillId="13" borderId="8" xfId="0" applyFill="1" applyBorder="1" applyProtection="1">
      <protection locked="0"/>
    </xf>
    <xf numFmtId="0" fontId="0" fillId="13" borderId="0" xfId="0" applyFill="1" applyAlignment="1" applyProtection="1">
      <alignment horizontal="right"/>
      <protection locked="0"/>
    </xf>
    <xf numFmtId="0" fontId="5" fillId="13" borderId="0" xfId="0" applyFont="1" applyFill="1" applyAlignment="1" applyProtection="1">
      <alignment horizontal="left"/>
      <protection locked="0"/>
    </xf>
    <xf numFmtId="0" fontId="0" fillId="13" borderId="12" xfId="0" applyFill="1" applyBorder="1" applyProtection="1">
      <protection locked="0"/>
    </xf>
    <xf numFmtId="0" fontId="0" fillId="13" borderId="12" xfId="0" applyFill="1" applyBorder="1" applyAlignment="1" applyProtection="1">
      <alignment horizontal="right"/>
      <protection locked="0"/>
    </xf>
    <xf numFmtId="0" fontId="5" fillId="13" borderId="12" xfId="0" applyFont="1" applyFill="1" applyBorder="1" applyAlignment="1" applyProtection="1">
      <alignment horizontal="left"/>
      <protection locked="0"/>
    </xf>
    <xf numFmtId="0" fontId="0" fillId="13" borderId="13" xfId="0" applyFill="1" applyBorder="1" applyProtection="1">
      <protection locked="0"/>
    </xf>
    <xf numFmtId="0" fontId="1" fillId="13" borderId="7" xfId="0" applyFont="1" applyFill="1" applyBorder="1" applyAlignment="1" applyProtection="1">
      <alignment horizontal="right"/>
      <protection locked="0"/>
    </xf>
    <xf numFmtId="0" fontId="1" fillId="13" borderId="12" xfId="0" applyFont="1" applyFill="1" applyBorder="1" applyAlignment="1" applyProtection="1">
      <alignment horizontal="right"/>
      <protection locked="0"/>
    </xf>
    <xf numFmtId="0" fontId="1" fillId="0" borderId="0" xfId="0" applyFont="1" applyAlignment="1" applyProtection="1">
      <alignment horizontal="left"/>
      <protection locked="0"/>
    </xf>
    <xf numFmtId="0" fontId="6" fillId="3" borderId="3" xfId="0" applyFont="1" applyFill="1" applyBorder="1" applyAlignment="1" applyProtection="1">
      <alignment horizontal="center" vertical="center" wrapText="1"/>
      <protection locked="0"/>
    </xf>
    <xf numFmtId="0" fontId="6" fillId="3" borderId="17" xfId="0" applyFont="1" applyFill="1" applyBorder="1" applyAlignment="1" applyProtection="1">
      <alignment horizontal="center" vertical="center" wrapText="1"/>
      <protection locked="0"/>
    </xf>
    <xf numFmtId="0" fontId="6" fillId="3" borderId="4" xfId="0" applyFont="1" applyFill="1" applyBorder="1" applyAlignment="1" applyProtection="1">
      <alignment horizontal="center" vertical="center" wrapText="1"/>
      <protection locked="0"/>
    </xf>
    <xf numFmtId="0" fontId="6" fillId="3" borderId="5" xfId="0" applyFont="1" applyFill="1" applyBorder="1" applyAlignment="1" applyProtection="1">
      <alignment horizontal="center" vertical="center" wrapText="1"/>
      <protection locked="0"/>
    </xf>
    <xf numFmtId="0" fontId="6" fillId="3" borderId="23" xfId="0" applyFont="1" applyFill="1" applyBorder="1" applyAlignment="1" applyProtection="1">
      <alignment horizontal="center" vertical="center" wrapText="1"/>
      <protection locked="0"/>
    </xf>
    <xf numFmtId="0" fontId="0" fillId="11" borderId="35" xfId="0" applyFill="1" applyBorder="1" applyAlignment="1" applyProtection="1">
      <alignment horizontal="center"/>
      <protection locked="0"/>
    </xf>
    <xf numFmtId="0" fontId="0" fillId="11" borderId="24" xfId="0" applyFill="1" applyBorder="1" applyProtection="1">
      <protection locked="0"/>
    </xf>
    <xf numFmtId="0" fontId="0" fillId="11" borderId="26" xfId="0" applyFill="1" applyBorder="1" applyProtection="1">
      <protection locked="0"/>
    </xf>
    <xf numFmtId="0" fontId="0" fillId="7" borderId="36" xfId="0" applyFill="1" applyBorder="1" applyAlignment="1" applyProtection="1">
      <alignment horizontal="center"/>
      <protection locked="0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0" fillId="11" borderId="36" xfId="0" applyFill="1" applyBorder="1" applyAlignment="1" applyProtection="1">
      <alignment horizontal="center"/>
      <protection locked="0"/>
    </xf>
    <xf numFmtId="0" fontId="0" fillId="11" borderId="27" xfId="0" applyFill="1" applyBorder="1" applyProtection="1">
      <protection locked="0"/>
    </xf>
    <xf numFmtId="0" fontId="0" fillId="11" borderId="28" xfId="0" applyFill="1" applyBorder="1" applyProtection="1">
      <protection locked="0"/>
    </xf>
    <xf numFmtId="0" fontId="0" fillId="0" borderId="29" xfId="0" applyBorder="1" applyProtection="1">
      <protection locked="0"/>
    </xf>
    <xf numFmtId="12" fontId="0" fillId="0" borderId="0" xfId="0" applyNumberFormat="1" applyAlignment="1" applyProtection="1">
      <alignment horizontal="center"/>
      <protection locked="0"/>
    </xf>
    <xf numFmtId="12" fontId="0" fillId="0" borderId="0" xfId="0" applyNumberFormat="1" applyProtection="1">
      <protection locked="0"/>
    </xf>
    <xf numFmtId="0" fontId="0" fillId="7" borderId="37" xfId="0" applyFill="1" applyBorder="1" applyAlignment="1" applyProtection="1">
      <alignment horizontal="center"/>
      <protection locked="0"/>
    </xf>
    <xf numFmtId="0" fontId="0" fillId="0" borderId="31" xfId="0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11" borderId="20" xfId="0" applyNumberFormat="1" applyFill="1" applyBorder="1" applyAlignment="1">
      <alignment horizontal="center"/>
    </xf>
    <xf numFmtId="2" fontId="0" fillId="7" borderId="45" xfId="0" applyNumberFormat="1" applyFill="1" applyBorder="1" applyAlignment="1">
      <alignment horizontal="center"/>
    </xf>
    <xf numFmtId="2" fontId="0" fillId="11" borderId="45" xfId="0" applyNumberFormat="1" applyFill="1" applyBorder="1" applyAlignment="1">
      <alignment horizontal="center"/>
    </xf>
    <xf numFmtId="2" fontId="0" fillId="7" borderId="44" xfId="0" applyNumberFormat="1" applyFill="1" applyBorder="1" applyAlignment="1">
      <alignment horizontal="center"/>
    </xf>
    <xf numFmtId="0" fontId="7" fillId="4" borderId="7" xfId="0" applyFont="1" applyFill="1" applyBorder="1" applyAlignment="1">
      <alignment horizontal="left"/>
    </xf>
    <xf numFmtId="0" fontId="7" fillId="4" borderId="12" xfId="0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12" xfId="0" applyFill="1" applyBorder="1"/>
    <xf numFmtId="0" fontId="7" fillId="10" borderId="7" xfId="0" applyFont="1" applyFill="1" applyBorder="1" applyAlignment="1">
      <alignment horizontal="left"/>
    </xf>
    <xf numFmtId="0" fontId="7" fillId="10" borderId="12" xfId="0" applyFont="1" applyFill="1" applyBorder="1" applyAlignment="1">
      <alignment horizontal="left"/>
    </xf>
    <xf numFmtId="0" fontId="0" fillId="10" borderId="7" xfId="0" applyFill="1" applyBorder="1"/>
    <xf numFmtId="0" fontId="0" fillId="10" borderId="0" xfId="0" applyFill="1"/>
    <xf numFmtId="0" fontId="0" fillId="10" borderId="12" xfId="0" applyFill="1" applyBorder="1"/>
    <xf numFmtId="0" fontId="0" fillId="13" borderId="7" xfId="0" applyFill="1" applyBorder="1"/>
    <xf numFmtId="0" fontId="0" fillId="13" borderId="12" xfId="0" applyFill="1" applyBorder="1"/>
    <xf numFmtId="0" fontId="6" fillId="3" borderId="3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0" fillId="11" borderId="35" xfId="0" applyFill="1" applyBorder="1" applyAlignment="1">
      <alignment horizontal="center"/>
    </xf>
    <xf numFmtId="0" fontId="0" fillId="11" borderId="24" xfId="0" applyFill="1" applyBorder="1" applyAlignment="1">
      <alignment horizontal="center"/>
    </xf>
    <xf numFmtId="2" fontId="0" fillId="11" borderId="26" xfId="0" applyNumberFormat="1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2" fontId="0" fillId="7" borderId="28" xfId="0" applyNumberFormat="1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2" fontId="0" fillId="7" borderId="31" xfId="0" applyNumberFormat="1" applyFill="1" applyBorder="1" applyAlignment="1">
      <alignment horizontal="center"/>
    </xf>
    <xf numFmtId="2" fontId="0" fillId="11" borderId="40" xfId="0" applyNumberFormat="1" applyFill="1" applyBorder="1"/>
    <xf numFmtId="2" fontId="0" fillId="11" borderId="2" xfId="0" applyNumberFormat="1" applyFill="1" applyBorder="1"/>
    <xf numFmtId="2" fontId="0" fillId="11" borderId="41" xfId="0" applyNumberFormat="1" applyFill="1" applyBorder="1"/>
    <xf numFmtId="2" fontId="0" fillId="0" borderId="27" xfId="0" applyNumberFormat="1" applyBorder="1"/>
    <xf numFmtId="2" fontId="0" fillId="0" borderId="1" xfId="0" applyNumberFormat="1" applyBorder="1"/>
    <xf numFmtId="2" fontId="0" fillId="0" borderId="28" xfId="0" applyNumberFormat="1" applyBorder="1"/>
    <xf numFmtId="2" fontId="0" fillId="11" borderId="27" xfId="0" applyNumberFormat="1" applyFill="1" applyBorder="1"/>
    <xf numFmtId="2" fontId="0" fillId="0" borderId="32" xfId="0" applyNumberFormat="1" applyBorder="1"/>
    <xf numFmtId="2" fontId="0" fillId="0" borderId="30" xfId="0" applyNumberFormat="1" applyBorder="1"/>
    <xf numFmtId="2" fontId="0" fillId="0" borderId="31" xfId="0" applyNumberFormat="1" applyBorder="1"/>
    <xf numFmtId="2" fontId="0" fillId="11" borderId="5" xfId="0" applyNumberFormat="1" applyFill="1" applyBorder="1"/>
    <xf numFmtId="12" fontId="0" fillId="11" borderId="24" xfId="0" applyNumberFormat="1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2" fontId="0" fillId="11" borderId="25" xfId="0" applyNumberFormat="1" applyFill="1" applyBorder="1"/>
    <xf numFmtId="0" fontId="0" fillId="11" borderId="24" xfId="0" applyFill="1" applyBorder="1"/>
    <xf numFmtId="0" fontId="0" fillId="11" borderId="25" xfId="0" applyFill="1" applyBorder="1"/>
    <xf numFmtId="12" fontId="0" fillId="0" borderId="27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7" xfId="0" applyBorder="1"/>
    <xf numFmtId="12" fontId="0" fillId="11" borderId="27" xfId="0" applyNumberForma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2" fontId="0" fillId="11" borderId="1" xfId="0" applyNumberFormat="1" applyFill="1" applyBorder="1"/>
    <xf numFmtId="0" fontId="0" fillId="11" borderId="27" xfId="0" applyFill="1" applyBorder="1"/>
    <xf numFmtId="0" fontId="0" fillId="11" borderId="1" xfId="0" applyFill="1" applyBorder="1"/>
    <xf numFmtId="0" fontId="0" fillId="0" borderId="29" xfId="0" applyBorder="1"/>
    <xf numFmtId="0" fontId="0" fillId="0" borderId="30" xfId="0" applyBorder="1"/>
    <xf numFmtId="12" fontId="0" fillId="11" borderId="29" xfId="0" applyNumberFormat="1" applyFill="1" applyBorder="1" applyAlignment="1">
      <alignment horizontal="center"/>
    </xf>
    <xf numFmtId="0" fontId="0" fillId="11" borderId="30" xfId="0" applyFill="1" applyBorder="1" applyAlignment="1">
      <alignment horizontal="center"/>
    </xf>
    <xf numFmtId="2" fontId="0" fillId="11" borderId="30" xfId="0" applyNumberFormat="1" applyFill="1" applyBorder="1"/>
    <xf numFmtId="0" fontId="0" fillId="11" borderId="44" xfId="0" applyFill="1" applyBorder="1" applyAlignment="1" applyProtection="1">
      <alignment horizontal="center"/>
      <protection locked="0"/>
    </xf>
    <xf numFmtId="2" fontId="0" fillId="11" borderId="44" xfId="0" applyNumberFormat="1" applyFill="1" applyBorder="1" applyAlignment="1">
      <alignment horizontal="center"/>
    </xf>
    <xf numFmtId="0" fontId="0" fillId="7" borderId="9" xfId="0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0" xfId="0" applyFill="1" applyBorder="1" applyAlignment="1" applyProtection="1">
      <alignment horizontal="center"/>
      <protection locked="0"/>
    </xf>
    <xf numFmtId="2" fontId="0" fillId="7" borderId="9" xfId="0" applyNumberFormat="1" applyFill="1" applyBorder="1" applyAlignment="1">
      <alignment horizontal="center"/>
    </xf>
    <xf numFmtId="10" fontId="0" fillId="7" borderId="0" xfId="1" applyNumberFormat="1" applyFont="1" applyFill="1" applyAlignment="1" applyProtection="1">
      <alignment horizontal="center"/>
      <protection locked="0"/>
    </xf>
    <xf numFmtId="9" fontId="0" fillId="7" borderId="0" xfId="1" applyFont="1" applyFill="1" applyAlignment="1" applyProtection="1">
      <alignment horizontal="center"/>
      <protection locked="0"/>
    </xf>
    <xf numFmtId="164" fontId="0" fillId="11" borderId="26" xfId="1" applyNumberFormat="1" applyFont="1" applyFill="1" applyBorder="1"/>
    <xf numFmtId="164" fontId="0" fillId="0" borderId="28" xfId="1" applyNumberFormat="1" applyFont="1" applyBorder="1"/>
    <xf numFmtId="164" fontId="0" fillId="11" borderId="28" xfId="1" applyNumberFormat="1" applyFont="1" applyFill="1" applyBorder="1"/>
    <xf numFmtId="164" fontId="0" fillId="0" borderId="31" xfId="1" applyNumberFormat="1" applyFont="1" applyBorder="1"/>
    <xf numFmtId="164" fontId="0" fillId="11" borderId="33" xfId="1" applyNumberFormat="1" applyFont="1" applyFill="1" applyBorder="1"/>
    <xf numFmtId="164" fontId="0" fillId="0" borderId="34" xfId="1" applyNumberFormat="1" applyFont="1" applyBorder="1"/>
    <xf numFmtId="164" fontId="0" fillId="11" borderId="34" xfId="1" applyNumberFormat="1" applyFont="1" applyFill="1" applyBorder="1"/>
    <xf numFmtId="164" fontId="0" fillId="11" borderId="31" xfId="1" applyNumberFormat="1" applyFont="1" applyFill="1" applyBorder="1"/>
    <xf numFmtId="164" fontId="0" fillId="11" borderId="21" xfId="1" applyNumberFormat="1" applyFont="1" applyFill="1" applyBorder="1" applyAlignment="1" applyProtection="1">
      <alignment horizontal="center"/>
      <protection locked="0"/>
    </xf>
    <xf numFmtId="164" fontId="0" fillId="7" borderId="46" xfId="1" applyNumberFormat="1" applyFont="1" applyFill="1" applyBorder="1" applyAlignment="1" applyProtection="1">
      <alignment horizontal="center"/>
      <protection locked="0"/>
    </xf>
    <xf numFmtId="164" fontId="0" fillId="11" borderId="46" xfId="1" applyNumberFormat="1" applyFont="1" applyFill="1" applyBorder="1" applyAlignment="1" applyProtection="1">
      <alignment horizontal="center"/>
      <protection locked="0"/>
    </xf>
    <xf numFmtId="164" fontId="0" fillId="11" borderId="42" xfId="1" applyNumberFormat="1" applyFont="1" applyFill="1" applyBorder="1" applyAlignment="1" applyProtection="1">
      <alignment horizontal="center"/>
      <protection locked="0"/>
    </xf>
    <xf numFmtId="164" fontId="0" fillId="7" borderId="42" xfId="1" applyNumberFormat="1" applyFont="1" applyFill="1" applyBorder="1" applyAlignment="1" applyProtection="1">
      <alignment horizontal="center"/>
      <protection locked="0"/>
    </xf>
    <xf numFmtId="0" fontId="6" fillId="12" borderId="4" xfId="0" applyFont="1" applyFill="1" applyBorder="1" applyAlignment="1" applyProtection="1">
      <alignment horizontal="center" vertical="center" wrapText="1"/>
      <protection locked="0"/>
    </xf>
    <xf numFmtId="0" fontId="6" fillId="12" borderId="4" xfId="0" applyFont="1" applyFill="1" applyBorder="1" applyAlignment="1" applyProtection="1">
      <alignment horizontal="center" vertical="center"/>
      <protection locked="0"/>
    </xf>
    <xf numFmtId="0" fontId="6" fillId="12" borderId="18" xfId="0" applyFont="1" applyFill="1" applyBorder="1" applyAlignment="1" applyProtection="1">
      <alignment horizontal="center" vertical="center"/>
      <protection locked="0"/>
    </xf>
    <xf numFmtId="0" fontId="6" fillId="3" borderId="19" xfId="0" applyFont="1" applyFill="1" applyBorder="1" applyAlignment="1" applyProtection="1">
      <alignment horizontal="center"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2" fontId="0" fillId="7" borderId="10" xfId="0" applyNumberFormat="1" applyFill="1" applyBorder="1" applyAlignment="1" applyProtection="1">
      <alignment horizontal="center"/>
      <protection locked="0"/>
    </xf>
    <xf numFmtId="2" fontId="6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11" borderId="49" xfId="0" applyFill="1" applyBorder="1" applyAlignment="1" applyProtection="1">
      <alignment horizontal="center"/>
      <protection locked="0"/>
    </xf>
    <xf numFmtId="10" fontId="0" fillId="11" borderId="1" xfId="1" applyNumberFormat="1" applyFont="1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10" fontId="0" fillId="11" borderId="30" xfId="1" applyNumberFormat="1" applyFont="1" applyFill="1" applyBorder="1" applyAlignment="1" applyProtection="1">
      <alignment horizontal="center"/>
      <protection locked="0"/>
    </xf>
    <xf numFmtId="0" fontId="0" fillId="7" borderId="30" xfId="0" applyFill="1" applyBorder="1" applyAlignment="1" applyProtection="1">
      <alignment horizontal="center"/>
      <protection locked="0"/>
    </xf>
    <xf numFmtId="10" fontId="0" fillId="7" borderId="1" xfId="1" applyNumberFormat="1" applyFont="1" applyFill="1" applyBorder="1" applyAlignment="1" applyProtection="1">
      <alignment horizontal="center"/>
      <protection locked="0"/>
    </xf>
    <xf numFmtId="2" fontId="0" fillId="7" borderId="51" xfId="0" applyNumberFormat="1" applyFill="1" applyBorder="1" applyAlignment="1">
      <alignment horizontal="center"/>
    </xf>
    <xf numFmtId="2" fontId="0" fillId="11" borderId="51" xfId="0" applyNumberFormat="1" applyFill="1" applyBorder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7" borderId="52" xfId="0" applyNumberFormat="1" applyFill="1" applyBorder="1" applyAlignment="1">
      <alignment horizontal="center"/>
    </xf>
    <xf numFmtId="0" fontId="0" fillId="7" borderId="0" xfId="0" applyFill="1" applyAlignment="1" applyProtection="1">
      <alignment horizontal="center"/>
      <protection locked="0"/>
    </xf>
    <xf numFmtId="0" fontId="0" fillId="11" borderId="23" xfId="0" applyFill="1" applyBorder="1" applyAlignment="1" applyProtection="1">
      <alignment horizontal="center"/>
      <protection locked="0"/>
    </xf>
    <xf numFmtId="0" fontId="0" fillId="7" borderId="53" xfId="0" applyFill="1" applyBorder="1" applyAlignment="1" applyProtection="1">
      <alignment horizontal="center"/>
      <protection locked="0"/>
    </xf>
    <xf numFmtId="0" fontId="0" fillId="11" borderId="53" xfId="0" applyFill="1" applyBorder="1" applyAlignment="1" applyProtection="1">
      <alignment horizontal="center"/>
      <protection locked="0"/>
    </xf>
    <xf numFmtId="0" fontId="6" fillId="3" borderId="18" xfId="0" applyFont="1" applyFill="1" applyBorder="1" applyAlignment="1" applyProtection="1">
      <alignment horizontal="center" vertical="center" wrapText="1"/>
      <protection locked="0"/>
    </xf>
    <xf numFmtId="0" fontId="0" fillId="7" borderId="54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11" borderId="47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7" borderId="47" xfId="0" applyFill="1" applyBorder="1" applyAlignment="1" applyProtection="1">
      <alignment horizontal="center"/>
      <protection locked="0"/>
    </xf>
    <xf numFmtId="0" fontId="0" fillId="7" borderId="51" xfId="0" applyFill="1" applyBorder="1" applyAlignment="1" applyProtection="1">
      <alignment horizontal="center"/>
      <protection locked="0"/>
    </xf>
    <xf numFmtId="2" fontId="0" fillId="11" borderId="24" xfId="0" applyNumberFormat="1" applyFill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11" borderId="27" xfId="0" applyNumberFormat="1" applyFill="1" applyBorder="1" applyAlignment="1">
      <alignment horizontal="center"/>
    </xf>
    <xf numFmtId="2" fontId="0" fillId="11" borderId="29" xfId="0" applyNumberFormat="1" applyFill="1" applyBorder="1" applyAlignment="1">
      <alignment horizontal="center"/>
    </xf>
    <xf numFmtId="0" fontId="0" fillId="11" borderId="52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7" borderId="53" xfId="0" applyFill="1" applyBorder="1" applyAlignment="1" applyProtection="1">
      <alignment horizontal="center"/>
      <protection locked="0"/>
    </xf>
    <xf numFmtId="0" fontId="0" fillId="7" borderId="53" xfId="0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51" xfId="0" applyFill="1" applyBorder="1" applyAlignment="1" applyProtection="1">
      <alignment horizontal="center"/>
      <protection locked="0"/>
    </xf>
    <xf numFmtId="0" fontId="0" fillId="11" borderId="53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7" borderId="47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12" fillId="7" borderId="1" xfId="0" applyFont="1" applyFill="1" applyBorder="1" applyAlignment="1" applyProtection="1">
      <alignment horizontal="center"/>
      <protection locked="0"/>
    </xf>
    <xf numFmtId="0" fontId="0" fillId="11" borderId="53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7" borderId="53" xfId="0" applyFill="1" applyBorder="1" applyAlignment="1" applyProtection="1">
      <protection locked="0"/>
    </xf>
    <xf numFmtId="2" fontId="0" fillId="11" borderId="46" xfId="0" applyNumberFormat="1" applyFill="1" applyBorder="1" applyAlignment="1">
      <alignment horizontal="center"/>
    </xf>
    <xf numFmtId="2" fontId="0" fillId="11" borderId="46" xfId="0" applyNumberFormat="1" applyFill="1" applyBorder="1" applyAlignment="1" applyProtection="1">
      <alignment horizontal="center"/>
      <protection locked="0"/>
    </xf>
    <xf numFmtId="0" fontId="0" fillId="11" borderId="53" xfId="0" applyFill="1" applyBorder="1" applyAlignment="1" applyProtection="1">
      <alignment horizontal="center"/>
      <protection locked="0"/>
    </xf>
    <xf numFmtId="0" fontId="0" fillId="7" borderId="53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7" borderId="53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12" borderId="21" xfId="0" applyFont="1" applyFill="1" applyBorder="1" applyAlignment="1" applyProtection="1">
      <alignment horizontal="center" vertical="center" wrapText="1"/>
      <protection locked="0"/>
    </xf>
    <xf numFmtId="0" fontId="0" fillId="7" borderId="51" xfId="0" applyFill="1" applyBorder="1" applyAlignment="1" applyProtection="1">
      <alignment horizontal="center"/>
      <protection locked="0"/>
    </xf>
    <xf numFmtId="0" fontId="0" fillId="11" borderId="51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7" borderId="47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11" borderId="47" xfId="0" applyFill="1" applyBorder="1" applyAlignment="1" applyProtection="1">
      <alignment horizontal="center"/>
      <protection locked="0"/>
    </xf>
    <xf numFmtId="0" fontId="0" fillId="11" borderId="21" xfId="0" applyFill="1" applyBorder="1" applyAlignment="1" applyProtection="1">
      <alignment horizontal="center"/>
      <protection locked="0"/>
    </xf>
    <xf numFmtId="0" fontId="0" fillId="11" borderId="42" xfId="0" applyFill="1" applyBorder="1" applyAlignment="1" applyProtection="1">
      <alignment horizontal="center"/>
      <protection locked="0"/>
    </xf>
    <xf numFmtId="0" fontId="0" fillId="11" borderId="43" xfId="0" applyFill="1" applyBorder="1" applyAlignment="1" applyProtection="1">
      <alignment horizont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6" fillId="3" borderId="8" xfId="0" applyFont="1" applyFill="1" applyBorder="1" applyAlignment="1" applyProtection="1">
      <alignment horizontal="center" vertical="center"/>
      <protection locked="0"/>
    </xf>
    <xf numFmtId="2" fontId="0" fillId="11" borderId="51" xfId="0" applyNumberFormat="1" applyFill="1" applyBorder="1" applyAlignment="1">
      <alignment horizontal="center"/>
    </xf>
    <xf numFmtId="2" fontId="0" fillId="7" borderId="51" xfId="0" applyNumberFormat="1" applyFill="1" applyBorder="1" applyAlignment="1">
      <alignment horizontal="center"/>
    </xf>
    <xf numFmtId="2" fontId="0" fillId="11" borderId="52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/>
    <xf numFmtId="0" fontId="0" fillId="0" borderId="17" xfId="0" applyBorder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6" fillId="3" borderId="21" xfId="0" applyFont="1" applyFill="1" applyBorder="1" applyAlignment="1" applyProtection="1">
      <alignment horizontal="center" vertical="center" wrapText="1"/>
      <protection locked="0"/>
    </xf>
    <xf numFmtId="0" fontId="6" fillId="3" borderId="42" xfId="0" applyFont="1" applyFill="1" applyBorder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11" borderId="21" xfId="0" applyFill="1" applyBorder="1" applyAlignment="1" applyProtection="1">
      <alignment horizontal="center"/>
      <protection locked="0"/>
    </xf>
    <xf numFmtId="0" fontId="0" fillId="7" borderId="42" xfId="0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9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0" fillId="0" borderId="55" xfId="0" applyFill="1" applyBorder="1" applyAlignment="1">
      <alignment horizontal="center"/>
    </xf>
    <xf numFmtId="0" fontId="0" fillId="0" borderId="0" xfId="0" applyAlignment="1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1" xfId="0" applyNumberFormat="1" applyBorder="1" applyAlignment="1">
      <alignment horizontal="center"/>
    </xf>
    <xf numFmtId="2" fontId="0" fillId="7" borderId="46" xfId="0" applyNumberFormat="1" applyFill="1" applyBorder="1" applyAlignment="1">
      <alignment horizontal="center"/>
    </xf>
    <xf numFmtId="0" fontId="0" fillId="7" borderId="51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9" fontId="0" fillId="11" borderId="46" xfId="0" applyNumberFormat="1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 wrapText="1"/>
      <protection locked="0"/>
    </xf>
    <xf numFmtId="0" fontId="0" fillId="7" borderId="53" xfId="0" applyFill="1" applyBorder="1" applyAlignment="1" applyProtection="1">
      <alignment horizontal="center"/>
      <protection locked="0"/>
    </xf>
    <xf numFmtId="0" fontId="0" fillId="11" borderId="53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11" borderId="54" xfId="0" applyFill="1" applyBorder="1" applyAlignment="1" applyProtection="1">
      <alignment horizontal="center"/>
      <protection locked="0"/>
    </xf>
    <xf numFmtId="0" fontId="0" fillId="7" borderId="51" xfId="0" applyFill="1" applyBorder="1" applyAlignment="1" applyProtection="1">
      <protection locked="0"/>
    </xf>
    <xf numFmtId="0" fontId="0" fillId="11" borderId="52" xfId="0" applyFill="1" applyBorder="1" applyAlignment="1" applyProtection="1">
      <protection locked="0"/>
    </xf>
    <xf numFmtId="0" fontId="0" fillId="11" borderId="51" xfId="0" applyFill="1" applyBorder="1" applyAlignment="1" applyProtection="1">
      <protection locked="0"/>
    </xf>
    <xf numFmtId="0" fontId="0" fillId="7" borderId="46" xfId="0" applyFill="1" applyBorder="1" applyAlignment="1" applyProtection="1">
      <protection locked="0"/>
    </xf>
    <xf numFmtId="0" fontId="0" fillId="11" borderId="46" xfId="0" applyFill="1" applyBorder="1" applyAlignment="1" applyProtection="1">
      <protection locked="0"/>
    </xf>
    <xf numFmtId="0" fontId="0" fillId="11" borderId="42" xfId="0" applyFill="1" applyBorder="1" applyAlignment="1" applyProtection="1"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50" xfId="0" applyFill="1" applyBorder="1" applyAlignment="1" applyProtection="1">
      <alignment horizontal="center" vertical="center"/>
      <protection locked="0"/>
    </xf>
    <xf numFmtId="0" fontId="0" fillId="7" borderId="46" xfId="0" applyFont="1" applyFill="1" applyBorder="1" applyAlignment="1" applyProtection="1">
      <alignment horizontal="center"/>
      <protection locked="0"/>
    </xf>
    <xf numFmtId="0" fontId="0" fillId="0" borderId="46" xfId="0" applyFill="1" applyBorder="1" applyAlignment="1" applyProtection="1">
      <alignment horizontal="center"/>
      <protection locked="0"/>
    </xf>
    <xf numFmtId="0" fontId="0" fillId="0" borderId="46" xfId="0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0" xfId="0" applyNumberFormat="1"/>
    <xf numFmtId="0" fontId="0" fillId="7" borderId="53" xfId="0" applyFill="1" applyBorder="1" applyAlignment="1" applyProtection="1">
      <alignment horizontal="center"/>
      <protection locked="0"/>
    </xf>
    <xf numFmtId="0" fontId="0" fillId="11" borderId="53" xfId="0" applyFill="1" applyBorder="1" applyAlignment="1" applyProtection="1">
      <alignment horizontal="center"/>
      <protection locked="0"/>
    </xf>
    <xf numFmtId="0" fontId="0" fillId="11" borderId="51" xfId="0" applyFill="1" applyBorder="1" applyAlignment="1" applyProtection="1">
      <alignment horizontal="center"/>
      <protection locked="0"/>
    </xf>
    <xf numFmtId="2" fontId="0" fillId="7" borderId="51" xfId="0" applyNumberFormat="1" applyFill="1" applyBorder="1" applyAlignment="1">
      <alignment horizontal="center"/>
    </xf>
    <xf numFmtId="0" fontId="0" fillId="7" borderId="46" xfId="0" applyFill="1" applyBorder="1" applyAlignment="1" applyProtection="1">
      <alignment horizontal="center"/>
      <protection locked="0"/>
    </xf>
    <xf numFmtId="0" fontId="0" fillId="7" borderId="47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9" fontId="0" fillId="0" borderId="46" xfId="0" applyNumberForma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51" xfId="0" applyFill="1" applyBorder="1" applyAlignment="1" applyProtection="1">
      <alignment horizontal="center"/>
      <protection locked="0"/>
    </xf>
    <xf numFmtId="0" fontId="6" fillId="3" borderId="21" xfId="0" applyFont="1" applyFill="1" applyBorder="1" applyAlignment="1" applyProtection="1">
      <alignment horizontal="center" vertical="center" wrapText="1"/>
      <protection locked="0"/>
    </xf>
    <xf numFmtId="0" fontId="6" fillId="3" borderId="42" xfId="0" applyFont="1" applyFill="1" applyBorder="1" applyAlignment="1" applyProtection="1">
      <alignment horizontal="center" vertical="center" wrapText="1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7" borderId="42" xfId="0" applyFill="1" applyBorder="1" applyAlignment="1" applyProtection="1">
      <alignment horizontal="center"/>
      <protection locked="0"/>
    </xf>
    <xf numFmtId="0" fontId="0" fillId="11" borderId="21" xfId="0" applyFill="1" applyBorder="1" applyAlignment="1" applyProtection="1">
      <alignment horizontal="center"/>
      <protection locked="0"/>
    </xf>
    <xf numFmtId="0" fontId="0" fillId="11" borderId="53" xfId="0" applyFill="1" applyBorder="1" applyAlignment="1" applyProtection="1">
      <alignment horizontal="center" wrapText="1"/>
      <protection locked="0"/>
    </xf>
    <xf numFmtId="2" fontId="5" fillId="4" borderId="0" xfId="0" applyNumberFormat="1" applyFont="1" applyFill="1" applyAlignment="1" applyProtection="1">
      <alignment horizontal="left"/>
      <protection locked="0"/>
    </xf>
    <xf numFmtId="0" fontId="0" fillId="11" borderId="25" xfId="1" applyNumberFormat="1" applyFont="1" applyFill="1" applyBorder="1" applyAlignment="1" applyProtection="1">
      <alignment horizontal="center"/>
      <protection locked="0"/>
    </xf>
    <xf numFmtId="0" fontId="6" fillId="3" borderId="30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0" fillId="7" borderId="0" xfId="0" applyFill="1" applyAlignment="1" applyProtection="1">
      <alignment horizontal="center"/>
      <protection locked="0"/>
    </xf>
    <xf numFmtId="0" fontId="0" fillId="7" borderId="51" xfId="0" applyFill="1" applyBorder="1" applyAlignment="1" applyProtection="1">
      <alignment horizontal="center"/>
      <protection locked="0"/>
    </xf>
    <xf numFmtId="0" fontId="6" fillId="3" borderId="21" xfId="0" applyFont="1" applyFill="1" applyBorder="1" applyAlignment="1" applyProtection="1">
      <alignment horizontal="center" vertical="center" wrapText="1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7" borderId="42" xfId="0" applyFill="1" applyBorder="1" applyAlignment="1" applyProtection="1">
      <alignment horizontal="center"/>
      <protection locked="0"/>
    </xf>
    <xf numFmtId="0" fontId="0" fillId="11" borderId="21" xfId="0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7" borderId="51" xfId="0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2" xfId="0" applyFill="1" applyBorder="1" applyAlignment="1">
      <alignment horizontal="center"/>
    </xf>
    <xf numFmtId="0" fontId="0" fillId="0" borderId="60" xfId="0" applyBorder="1"/>
    <xf numFmtId="0" fontId="0" fillId="0" borderId="66" xfId="0" applyBorder="1"/>
    <xf numFmtId="0" fontId="0" fillId="0" borderId="67" xfId="0" applyBorder="1"/>
    <xf numFmtId="0" fontId="0" fillId="0" borderId="73" xfId="0" applyBorder="1"/>
    <xf numFmtId="0" fontId="0" fillId="0" borderId="75" xfId="0" applyBorder="1"/>
    <xf numFmtId="0" fontId="0" fillId="0" borderId="7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Fill="1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90" xfId="0" applyBorder="1"/>
    <xf numFmtId="0" fontId="0" fillId="0" borderId="92" xfId="0" applyBorder="1"/>
    <xf numFmtId="0" fontId="0" fillId="0" borderId="90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97" xfId="0" applyFill="1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91" xfId="0" applyBorder="1" applyAlignment="1">
      <alignment horizontal="center"/>
    </xf>
    <xf numFmtId="0" fontId="0" fillId="11" borderId="50" xfId="0" applyFill="1" applyBorder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horizontal="center"/>
      <protection locked="0"/>
    </xf>
    <xf numFmtId="0" fontId="6" fillId="3" borderId="21" xfId="0" applyFont="1" applyFill="1" applyBorder="1" applyAlignment="1" applyProtection="1">
      <alignment horizontal="center" vertical="center" wrapText="1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7" borderId="42" xfId="0" applyFill="1" applyBorder="1" applyAlignment="1" applyProtection="1">
      <alignment horizontal="center"/>
      <protection locked="0"/>
    </xf>
    <xf numFmtId="0" fontId="0" fillId="11" borderId="21" xfId="0" applyFill="1" applyBorder="1" applyAlignment="1" applyProtection="1">
      <alignment horizontal="center"/>
      <protection locked="0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/>
    <xf numFmtId="2" fontId="0" fillId="0" borderId="1" xfId="0" applyNumberFormat="1" applyBorder="1" applyAlignment="1">
      <alignment horizontal="center"/>
    </xf>
    <xf numFmtId="0" fontId="6" fillId="0" borderId="1" xfId="0" applyFont="1" applyBorder="1" applyAlignment="1">
      <alignment wrapText="1"/>
    </xf>
    <xf numFmtId="0" fontId="6" fillId="0" borderId="1" xfId="0" applyFont="1" applyBorder="1" applyAlignment="1"/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1" xfId="0" applyBorder="1" applyAlignment="1">
      <alignment horizontal="center"/>
    </xf>
    <xf numFmtId="0" fontId="6" fillId="0" borderId="24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24" xfId="0" applyFont="1" applyFill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0" fillId="11" borderId="51" xfId="0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horizontal="center" vertical="center" wrapText="1"/>
      <protection locked="0"/>
    </xf>
    <xf numFmtId="0" fontId="0" fillId="0" borderId="51" xfId="0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2" fontId="5" fillId="10" borderId="0" xfId="0" applyNumberFormat="1" applyFont="1" applyFill="1" applyAlignment="1" applyProtection="1">
      <alignment horizontal="left"/>
      <protection locked="0"/>
    </xf>
    <xf numFmtId="0" fontId="0" fillId="0" borderId="53" xfId="0" applyFill="1" applyBorder="1" applyAlignment="1">
      <alignment horizontal="right"/>
    </xf>
    <xf numFmtId="0" fontId="6" fillId="0" borderId="1" xfId="0" applyFont="1" applyFill="1" applyBorder="1"/>
    <xf numFmtId="2" fontId="6" fillId="0" borderId="1" xfId="0" applyNumberFormat="1" applyFont="1" applyBorder="1"/>
    <xf numFmtId="0" fontId="6" fillId="3" borderId="23" xfId="0" applyFont="1" applyFill="1" applyBorder="1" applyAlignment="1" applyProtection="1">
      <alignment horizontal="center" vertical="center" wrapText="1"/>
      <protection locked="0"/>
    </xf>
    <xf numFmtId="0" fontId="6" fillId="3" borderId="50" xfId="0" applyFont="1" applyFill="1" applyBorder="1" applyAlignment="1" applyProtection="1">
      <alignment horizontal="center" vertical="center" wrapText="1"/>
      <protection locked="0"/>
    </xf>
    <xf numFmtId="0" fontId="6" fillId="3" borderId="54" xfId="0" applyFont="1" applyFill="1" applyBorder="1" applyAlignment="1" applyProtection="1">
      <alignment horizontal="center" vertical="center" wrapText="1"/>
      <protection locked="0"/>
    </xf>
    <xf numFmtId="0" fontId="6" fillId="3" borderId="52" xfId="0" applyFont="1" applyFill="1" applyBorder="1" applyAlignment="1" applyProtection="1">
      <alignment horizontal="center" vertical="center" wrapText="1"/>
      <protection locked="0"/>
    </xf>
    <xf numFmtId="0" fontId="6" fillId="12" borderId="21" xfId="0" applyFont="1" applyFill="1" applyBorder="1" applyAlignment="1" applyProtection="1">
      <alignment horizontal="center" vertical="center"/>
      <protection locked="0"/>
    </xf>
    <xf numFmtId="0" fontId="6" fillId="12" borderId="42" xfId="0" applyFont="1" applyFill="1" applyBorder="1" applyAlignment="1" applyProtection="1">
      <alignment horizontal="center" vertical="center"/>
      <protection locked="0"/>
    </xf>
    <xf numFmtId="0" fontId="6" fillId="12" borderId="21" xfId="0" applyFont="1" applyFill="1" applyBorder="1" applyAlignment="1" applyProtection="1">
      <alignment horizontal="center" vertical="center" wrapText="1"/>
      <protection locked="0"/>
    </xf>
    <xf numFmtId="0" fontId="6" fillId="12" borderId="42" xfId="0" applyFont="1" applyFill="1" applyBorder="1" applyAlignment="1" applyProtection="1">
      <alignment horizontal="center" vertical="center" wrapText="1"/>
      <protection locked="0"/>
    </xf>
    <xf numFmtId="0" fontId="0" fillId="7" borderId="53" xfId="0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51" xfId="0" applyFill="1" applyBorder="1" applyAlignment="1" applyProtection="1">
      <alignment horizontal="center"/>
      <protection locked="0"/>
    </xf>
    <xf numFmtId="0" fontId="0" fillId="11" borderId="53" xfId="0" applyFill="1" applyBorder="1" applyAlignment="1" applyProtection="1">
      <alignment horizontal="center"/>
      <protection locked="0"/>
    </xf>
    <xf numFmtId="0" fontId="0" fillId="11" borderId="0" xfId="0" applyFill="1" applyAlignment="1" applyProtection="1">
      <alignment horizontal="center"/>
      <protection locked="0"/>
    </xf>
    <xf numFmtId="0" fontId="0" fillId="11" borderId="51" xfId="0" applyFill="1" applyBorder="1" applyAlignment="1" applyProtection="1">
      <alignment horizontal="center"/>
      <protection locked="0"/>
    </xf>
    <xf numFmtId="0" fontId="6" fillId="3" borderId="21" xfId="0" applyFont="1" applyFill="1" applyBorder="1" applyAlignment="1" applyProtection="1">
      <alignment horizontal="center" vertical="center" wrapText="1"/>
      <protection locked="0"/>
    </xf>
    <xf numFmtId="0" fontId="6" fillId="3" borderId="42" xfId="0" applyFont="1" applyFill="1" applyBorder="1" applyAlignment="1" applyProtection="1">
      <alignment horizontal="center" vertical="center" wrapText="1"/>
      <protection locked="0"/>
    </xf>
    <xf numFmtId="2" fontId="0" fillId="7" borderId="53" xfId="0" applyNumberFormat="1" applyFill="1" applyBorder="1" applyAlignment="1">
      <alignment horizontal="center"/>
    </xf>
    <xf numFmtId="2" fontId="0" fillId="7" borderId="51" xfId="0" applyNumberFormat="1" applyFill="1" applyBorder="1" applyAlignment="1">
      <alignment horizontal="center"/>
    </xf>
    <xf numFmtId="2" fontId="0" fillId="11" borderId="54" xfId="0" applyNumberFormat="1" applyFill="1" applyBorder="1" applyAlignment="1">
      <alignment horizontal="center"/>
    </xf>
    <xf numFmtId="2" fontId="0" fillId="11" borderId="52" xfId="0" applyNumberFormat="1" applyFill="1" applyBorder="1" applyAlignment="1">
      <alignment horizontal="center"/>
    </xf>
    <xf numFmtId="2" fontId="0" fillId="11" borderId="53" xfId="0" applyNumberFormat="1" applyFill="1" applyBorder="1" applyAlignment="1">
      <alignment horizontal="center"/>
    </xf>
    <xf numFmtId="2" fontId="0" fillId="11" borderId="51" xfId="0" applyNumberFormat="1" applyFill="1" applyBorder="1" applyAlignment="1">
      <alignment horizontal="center"/>
    </xf>
    <xf numFmtId="0" fontId="6" fillId="12" borderId="18" xfId="0" applyFont="1" applyFill="1" applyBorder="1" applyAlignment="1" applyProtection="1">
      <alignment horizontal="center" vertical="center" wrapText="1"/>
      <protection locked="0"/>
    </xf>
    <xf numFmtId="0" fontId="6" fillId="12" borderId="15" xfId="0" applyFont="1" applyFill="1" applyBorder="1" applyAlignment="1" applyProtection="1">
      <alignment horizontal="center" vertical="center" wrapText="1"/>
      <protection locked="0"/>
    </xf>
    <xf numFmtId="0" fontId="6" fillId="12" borderId="19" xfId="0" applyFont="1" applyFill="1" applyBorder="1" applyAlignment="1" applyProtection="1">
      <alignment horizontal="center" vertical="center" wrapText="1"/>
      <protection locked="0"/>
    </xf>
    <xf numFmtId="0" fontId="0" fillId="11" borderId="23" xfId="0" applyFill="1" applyBorder="1" applyAlignment="1" applyProtection="1">
      <alignment horizontal="center"/>
      <protection locked="0"/>
    </xf>
    <xf numFmtId="0" fontId="0" fillId="11" borderId="7" xfId="0" applyFill="1" applyBorder="1" applyAlignment="1" applyProtection="1">
      <alignment horizontal="center"/>
      <protection locked="0"/>
    </xf>
    <xf numFmtId="0" fontId="0" fillId="11" borderId="50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7" borderId="47" xfId="0" applyFill="1" applyBorder="1" applyAlignment="1" applyProtection="1">
      <alignment horizontal="center"/>
      <protection locked="0"/>
    </xf>
    <xf numFmtId="0" fontId="0" fillId="11" borderId="46" xfId="0" applyFill="1" applyBorder="1" applyAlignment="1" applyProtection="1">
      <alignment horizontal="center"/>
      <protection locked="0"/>
    </xf>
    <xf numFmtId="0" fontId="0" fillId="11" borderId="47" xfId="0" applyFill="1" applyBorder="1" applyAlignment="1" applyProtection="1">
      <alignment horizontal="center"/>
      <protection locked="0"/>
    </xf>
    <xf numFmtId="0" fontId="0" fillId="7" borderId="42" xfId="0" applyFill="1" applyBorder="1" applyAlignment="1" applyProtection="1">
      <alignment horizontal="center"/>
      <protection locked="0"/>
    </xf>
    <xf numFmtId="0" fontId="0" fillId="7" borderId="43" xfId="0" applyFill="1" applyBorder="1" applyAlignment="1" applyProtection="1">
      <alignment horizontal="center"/>
      <protection locked="0"/>
    </xf>
    <xf numFmtId="0" fontId="0" fillId="11" borderId="38" xfId="0" applyFill="1" applyBorder="1" applyAlignment="1" applyProtection="1">
      <alignment horizontal="center" vertical="top" textRotation="90"/>
      <protection locked="0"/>
    </xf>
    <xf numFmtId="0" fontId="0" fillId="11" borderId="48" xfId="0" applyFill="1" applyBorder="1" applyAlignment="1" applyProtection="1">
      <alignment horizontal="center" vertical="top" textRotation="90"/>
      <protection locked="0"/>
    </xf>
    <xf numFmtId="0" fontId="0" fillId="11" borderId="39" xfId="0" applyFill="1" applyBorder="1" applyAlignment="1" applyProtection="1">
      <alignment horizontal="center" vertical="top" textRotation="90"/>
      <protection locked="0"/>
    </xf>
    <xf numFmtId="0" fontId="0" fillId="11" borderId="38" xfId="0" applyFill="1" applyBorder="1" applyAlignment="1" applyProtection="1">
      <alignment horizontal="center" vertical="center" textRotation="90"/>
      <protection locked="0"/>
    </xf>
    <xf numFmtId="0" fontId="0" fillId="11" borderId="48" xfId="0" applyFill="1" applyBorder="1" applyAlignment="1" applyProtection="1">
      <alignment horizontal="center" vertical="center" textRotation="90"/>
      <protection locked="0"/>
    </xf>
    <xf numFmtId="0" fontId="0" fillId="11" borderId="39" xfId="0" applyFill="1" applyBorder="1" applyAlignment="1" applyProtection="1">
      <alignment horizontal="center" vertical="center" textRotation="90"/>
      <protection locked="0"/>
    </xf>
    <xf numFmtId="0" fontId="0" fillId="11" borderId="21" xfId="0" applyFill="1" applyBorder="1" applyAlignment="1" applyProtection="1">
      <alignment horizontal="center"/>
      <protection locked="0"/>
    </xf>
    <xf numFmtId="0" fontId="0" fillId="11" borderId="22" xfId="0" applyFill="1" applyBorder="1" applyAlignment="1" applyProtection="1">
      <alignment horizontal="center"/>
      <protection locked="0"/>
    </xf>
    <xf numFmtId="0" fontId="0" fillId="11" borderId="0" xfId="0" applyFill="1" applyBorder="1" applyAlignment="1" applyProtection="1">
      <alignment horizontal="center"/>
      <protection locked="0"/>
    </xf>
    <xf numFmtId="0" fontId="0" fillId="11" borderId="1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7" borderId="10" xfId="0" applyFill="1" applyBorder="1" applyAlignment="1" applyProtection="1">
      <alignment horizontal="center"/>
      <protection locked="0"/>
    </xf>
    <xf numFmtId="0" fontId="0" fillId="11" borderId="54" xfId="0" applyFill="1" applyBorder="1" applyAlignment="1" applyProtection="1">
      <alignment horizontal="center"/>
      <protection locked="0"/>
    </xf>
    <xf numFmtId="0" fontId="0" fillId="11" borderId="12" xfId="0" applyFill="1" applyBorder="1" applyAlignment="1" applyProtection="1">
      <alignment horizontal="center"/>
      <protection locked="0"/>
    </xf>
    <xf numFmtId="0" fontId="0" fillId="11" borderId="13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  <protection locked="0"/>
    </xf>
    <xf numFmtId="0" fontId="6" fillId="3" borderId="33" xfId="0" applyFont="1" applyFill="1" applyBorder="1" applyAlignment="1" applyProtection="1">
      <alignment horizontal="center" vertical="center" wrapText="1"/>
      <protection locked="0"/>
    </xf>
    <xf numFmtId="0" fontId="6" fillId="3" borderId="58" xfId="0" applyFont="1" applyFill="1" applyBorder="1" applyAlignment="1" applyProtection="1">
      <alignment horizontal="center" vertical="center" wrapText="1"/>
      <protection locked="0"/>
    </xf>
    <xf numFmtId="0" fontId="6" fillId="3" borderId="57" xfId="0" applyFont="1" applyFill="1" applyBorder="1" applyAlignment="1" applyProtection="1">
      <alignment horizontal="center" vertical="center" wrapText="1"/>
      <protection locked="0"/>
    </xf>
    <xf numFmtId="0" fontId="6" fillId="3" borderId="34" xfId="0" applyFont="1" applyFill="1" applyBorder="1" applyAlignment="1" applyProtection="1">
      <alignment horizontal="center" vertical="center" wrapText="1"/>
      <protection locked="0"/>
    </xf>
    <xf numFmtId="0" fontId="6" fillId="3" borderId="56" xfId="0" applyFont="1" applyFill="1" applyBorder="1" applyAlignment="1" applyProtection="1">
      <alignment horizontal="center" vertical="center" wrapText="1"/>
      <protection locked="0"/>
    </xf>
    <xf numFmtId="0" fontId="6" fillId="3" borderId="49" xfId="0" applyFont="1" applyFill="1" applyBorder="1" applyAlignment="1" applyProtection="1">
      <alignment horizontal="center" vertical="center" wrapText="1"/>
      <protection locked="0"/>
    </xf>
    <xf numFmtId="0" fontId="6" fillId="3" borderId="2" xfId="0" applyFont="1" applyFill="1" applyBorder="1" applyAlignment="1" applyProtection="1">
      <alignment horizontal="center" vertical="center" wrapText="1"/>
      <protection locked="0"/>
    </xf>
    <xf numFmtId="0" fontId="6" fillId="3" borderId="15" xfId="0" applyFont="1" applyFill="1" applyBorder="1" applyAlignment="1" applyProtection="1">
      <alignment horizontal="center" vertical="center" wrapText="1"/>
      <protection locked="0"/>
    </xf>
    <xf numFmtId="0" fontId="6" fillId="3" borderId="16" xfId="0" applyFont="1" applyFill="1" applyBorder="1" applyAlignment="1" applyProtection="1">
      <alignment horizontal="center" vertical="center" wrapText="1"/>
      <protection locked="0"/>
    </xf>
    <xf numFmtId="0" fontId="11" fillId="5" borderId="14" xfId="0" applyFont="1" applyFill="1" applyBorder="1" applyAlignment="1" applyProtection="1">
      <alignment horizontal="center"/>
      <protection locked="0"/>
    </xf>
    <xf numFmtId="0" fontId="11" fillId="5" borderId="15" xfId="0" applyFont="1" applyFill="1" applyBorder="1" applyAlignment="1" applyProtection="1">
      <alignment horizontal="center"/>
      <protection locked="0"/>
    </xf>
    <xf numFmtId="0" fontId="11" fillId="5" borderId="16" xfId="0" applyFont="1" applyFill="1" applyBorder="1" applyAlignment="1" applyProtection="1">
      <alignment horizontal="center"/>
      <protection locked="0"/>
    </xf>
    <xf numFmtId="0" fontId="11" fillId="5" borderId="7" xfId="0" applyFont="1" applyFill="1" applyBorder="1" applyAlignment="1" applyProtection="1">
      <alignment horizont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0" fontId="6" fillId="3" borderId="15" xfId="0" applyFont="1" applyFill="1" applyBorder="1" applyAlignment="1" applyProtection="1">
      <alignment horizontal="center" vertical="center"/>
      <protection locked="0"/>
    </xf>
    <xf numFmtId="0" fontId="6" fillId="3" borderId="16" xfId="0" applyFont="1" applyFill="1" applyBorder="1" applyAlignment="1" applyProtection="1">
      <alignment horizontal="center" vertical="center"/>
      <protection locked="0"/>
    </xf>
    <xf numFmtId="0" fontId="6" fillId="3" borderId="20" xfId="0" applyFont="1" applyFill="1" applyBorder="1" applyAlignment="1" applyProtection="1">
      <alignment horizontal="center" vertical="center"/>
      <protection locked="0"/>
    </xf>
    <xf numFmtId="0" fontId="6" fillId="3" borderId="44" xfId="0" applyFont="1" applyFill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 applyProtection="1">
      <alignment horizontal="center" vertical="center"/>
      <protection locked="0"/>
    </xf>
    <xf numFmtId="0" fontId="6" fillId="3" borderId="42" xfId="0" applyFont="1" applyFill="1" applyBorder="1" applyAlignment="1" applyProtection="1">
      <alignment horizontal="center" vertical="center"/>
      <protection locked="0"/>
    </xf>
    <xf numFmtId="0" fontId="6" fillId="15" borderId="14" xfId="0" applyFont="1" applyFill="1" applyBorder="1" applyAlignment="1" applyProtection="1">
      <alignment horizontal="center"/>
      <protection locked="0"/>
    </xf>
    <xf numFmtId="0" fontId="6" fillId="15" borderId="15" xfId="0" applyFont="1" applyFill="1" applyBorder="1" applyAlignment="1" applyProtection="1">
      <alignment horizontal="center"/>
      <protection locked="0"/>
    </xf>
    <xf numFmtId="0" fontId="6" fillId="15" borderId="16" xfId="0" applyFont="1" applyFill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14" borderId="6" xfId="0" applyFont="1" applyFill="1" applyBorder="1" applyAlignment="1" applyProtection="1">
      <alignment horizontal="center" vertical="center"/>
      <protection locked="0"/>
    </xf>
    <xf numFmtId="0" fontId="6" fillId="14" borderId="9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5" borderId="6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6" borderId="14" xfId="0" applyFont="1" applyFill="1" applyBorder="1" applyAlignment="1" applyProtection="1">
      <alignment horizont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0" fontId="6" fillId="6" borderId="16" xfId="0" applyFont="1" applyFill="1" applyBorder="1" applyAlignment="1" applyProtection="1">
      <alignment horizontal="center"/>
      <protection locked="0"/>
    </xf>
    <xf numFmtId="0" fontId="6" fillId="8" borderId="14" xfId="0" applyFont="1" applyFill="1" applyBorder="1" applyAlignment="1" applyProtection="1">
      <alignment horizontal="center"/>
      <protection locked="0"/>
    </xf>
    <xf numFmtId="0" fontId="6" fillId="8" borderId="15" xfId="0" applyFont="1" applyFill="1" applyBorder="1" applyAlignment="1" applyProtection="1">
      <alignment horizontal="center"/>
      <protection locked="0"/>
    </xf>
    <xf numFmtId="0" fontId="6" fillId="8" borderId="16" xfId="0" applyFont="1" applyFill="1" applyBorder="1" applyAlignment="1" applyProtection="1">
      <alignment horizontal="center"/>
      <protection locked="0"/>
    </xf>
    <xf numFmtId="0" fontId="6" fillId="9" borderId="6" xfId="0" applyFont="1" applyFill="1" applyBorder="1" applyAlignment="1" applyProtection="1">
      <alignment horizontal="center" vertical="center"/>
      <protection locked="0"/>
    </xf>
    <xf numFmtId="0" fontId="6" fillId="9" borderId="11" xfId="0" applyFont="1" applyFill="1" applyBorder="1" applyAlignment="1" applyProtection="1">
      <alignment horizontal="center" vertical="center"/>
      <protection locked="0"/>
    </xf>
    <xf numFmtId="0" fontId="6" fillId="9" borderId="9" xfId="0" applyFont="1" applyFill="1" applyBorder="1" applyAlignment="1" applyProtection="1">
      <alignment horizontal="center" vertical="center"/>
      <protection locked="0"/>
    </xf>
    <xf numFmtId="0" fontId="6" fillId="2" borderId="6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6" fillId="3" borderId="8" xfId="0" applyFont="1" applyFill="1" applyBorder="1" applyAlignment="1" applyProtection="1">
      <alignment horizontal="center" vertical="center"/>
      <protection locked="0"/>
    </xf>
    <xf numFmtId="0" fontId="0" fillId="11" borderId="3" xfId="0" applyFill="1" applyBorder="1" applyAlignment="1" applyProtection="1">
      <alignment horizontal="center"/>
      <protection locked="0"/>
    </xf>
    <xf numFmtId="0" fontId="0" fillId="11" borderId="4" xfId="0" applyFill="1" applyBorder="1" applyAlignment="1" applyProtection="1">
      <alignment horizontal="center"/>
      <protection locked="0"/>
    </xf>
    <xf numFmtId="0" fontId="6" fillId="3" borderId="14" xfId="0" applyFont="1" applyFill="1" applyBorder="1" applyAlignment="1" applyProtection="1">
      <alignment horizontal="center" vertical="center"/>
      <protection locked="0"/>
    </xf>
    <xf numFmtId="0" fontId="6" fillId="3" borderId="14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 wrapText="1"/>
    </xf>
    <xf numFmtId="0" fontId="6" fillId="3" borderId="39" xfId="0" applyFont="1" applyFill="1" applyBorder="1" applyAlignment="1">
      <alignment horizontal="center" vertical="center" wrapText="1"/>
    </xf>
    <xf numFmtId="0" fontId="11" fillId="5" borderId="14" xfId="0" applyFont="1" applyFill="1" applyBorder="1" applyAlignment="1">
      <alignment horizontal="center"/>
    </xf>
    <xf numFmtId="0" fontId="11" fillId="5" borderId="15" xfId="0" applyFont="1" applyFill="1" applyBorder="1" applyAlignment="1">
      <alignment horizontal="center"/>
    </xf>
    <xf numFmtId="0" fontId="11" fillId="5" borderId="16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63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8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8" xfId="0" applyBorder="1" applyAlignment="1">
      <alignment horizontal="center" wrapText="1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horizontal="center" vertical="center" wrapText="1"/>
    </xf>
    <xf numFmtId="0" fontId="0" fillId="0" borderId="89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 wrapText="1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95" xfId="0" applyBorder="1" applyAlignment="1">
      <alignment horizontal="center" wrapText="1"/>
    </xf>
    <xf numFmtId="0" fontId="0" fillId="0" borderId="9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9" xfId="0" applyBorder="1" applyAlignment="1">
      <alignment horizontal="center"/>
    </xf>
    <xf numFmtId="0" fontId="0" fillId="0" borderId="100" xfId="0" applyBorder="1" applyAlignment="1">
      <alignment horizontal="center"/>
    </xf>
    <xf numFmtId="0" fontId="0" fillId="0" borderId="101" xfId="0" applyBorder="1" applyAlignment="1">
      <alignment horizontal="center"/>
    </xf>
    <xf numFmtId="0" fontId="0" fillId="11" borderId="23" xfId="0" applyFill="1" applyBorder="1" applyAlignment="1" applyProtection="1">
      <alignment horizontal="center" vertical="center"/>
      <protection locked="0"/>
    </xf>
    <xf numFmtId="2" fontId="0" fillId="11" borderId="21" xfId="0" applyNumberFormat="1" applyFill="1" applyBorder="1" applyAlignment="1">
      <alignment horizontal="center" vertical="center"/>
    </xf>
    <xf numFmtId="2" fontId="0" fillId="11" borderId="50" xfId="0" applyNumberFormat="1" applyFill="1" applyBorder="1" applyAlignment="1">
      <alignment horizontal="center" vertical="center"/>
    </xf>
    <xf numFmtId="10" fontId="0" fillId="11" borderId="25" xfId="1" applyNumberFormat="1" applyFont="1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2" fontId="0" fillId="11" borderId="23" xfId="0" applyNumberFormat="1" applyFill="1" applyBorder="1" applyAlignment="1">
      <alignment horizontal="center" vertical="center"/>
    </xf>
    <xf numFmtId="2" fontId="0" fillId="11" borderId="50" xfId="0" applyNumberFormat="1" applyFill="1" applyBorder="1" applyAlignment="1">
      <alignment horizontal="center" vertical="center"/>
    </xf>
    <xf numFmtId="0" fontId="0" fillId="11" borderId="20" xfId="0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gem" xfId="1" builtinId="5"/>
  </cellStyles>
  <dxfs count="35"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0000"/>
      </font>
      <fill>
        <patternFill>
          <bgColor rgb="FFFFB9B9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B9B9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B9B9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B9B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B9B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383B203-FC4C-4F74-AC1B-2CBD784F378D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Column1" tableColumnId="1"/>
      <queryTableField id="2" name="Column2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FDE728A-C35D-4BB9-8BDE-CB14AB3DB360}" name="Planilha1" displayName="Planilha1" ref="A1:C14" tableType="queryTable" totalsRowShown="0">
  <autoFilter ref="A1:C14" xr:uid="{614FA3D6-6FB3-4D4E-974E-D0E14274B180}"/>
  <tableColumns count="3">
    <tableColumn id="1" xr3:uid="{A7B7F5F9-0947-409F-825D-7EFA83542B35}" uniqueName="1" name="Column1" queryTableFieldId="1" dataDxfId="6"/>
    <tableColumn id="2" xr3:uid="{FAAE38E1-16E2-4925-ACD2-326873EC7BA2}" uniqueName="2" name="Column2" queryTableFieldId="2" dataDxfId="5"/>
    <tableColumn id="3" xr3:uid="{BA7F3F06-36EF-4CD4-A438-526F747309D0}" uniqueName="3" name="Column3" queryTableFieldId="3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 tint="0.39997558519241921"/>
  </sheetPr>
  <dimension ref="B1:AR110"/>
  <sheetViews>
    <sheetView tabSelected="1" topLeftCell="B1" zoomScale="85" zoomScaleNormal="85" workbookViewId="0">
      <selection activeCell="D6" sqref="D6"/>
    </sheetView>
  </sheetViews>
  <sheetFormatPr defaultRowHeight="15" x14ac:dyDescent="0.25"/>
  <cols>
    <col min="1" max="1" width="2.28515625" style="21" customWidth="1"/>
    <col min="2" max="2" width="5.28515625" style="21" customWidth="1"/>
    <col min="3" max="3" width="11.85546875" style="21" customWidth="1"/>
    <col min="4" max="4" width="30.5703125" style="21" bestFit="1" customWidth="1"/>
    <col min="5" max="5" width="9.28515625" style="21" bestFit="1" customWidth="1"/>
    <col min="6" max="6" width="11" style="21" customWidth="1"/>
    <col min="7" max="7" width="10" style="21" customWidth="1"/>
    <col min="8" max="8" width="14.7109375" style="21" customWidth="1"/>
    <col min="9" max="9" width="17.28515625" style="21" customWidth="1"/>
    <col min="10" max="11" width="12" style="21" customWidth="1"/>
    <col min="12" max="12" width="13" style="21" customWidth="1"/>
    <col min="13" max="13" width="11.85546875" style="21" customWidth="1"/>
    <col min="14" max="14" width="11.42578125" style="21" customWidth="1"/>
    <col min="15" max="15" width="12.42578125" style="21" bestFit="1" customWidth="1"/>
    <col min="16" max="20" width="14.7109375" style="21" customWidth="1"/>
    <col min="21" max="21" width="29.7109375" style="21" customWidth="1"/>
    <col min="22" max="24" width="14.7109375" style="21" customWidth="1"/>
    <col min="25" max="26" width="9.140625" style="21"/>
    <col min="27" max="27" width="17.5703125" style="21" bestFit="1" customWidth="1"/>
    <col min="28" max="28" width="13.42578125" style="21" bestFit="1" customWidth="1"/>
    <col min="29" max="29" width="8.7109375" style="21" bestFit="1" customWidth="1"/>
    <col min="30" max="30" width="9.140625" style="21" customWidth="1"/>
    <col min="31" max="31" width="7.140625" style="21" bestFit="1" customWidth="1"/>
    <col min="32" max="32" width="6" style="21" bestFit="1" customWidth="1"/>
    <col min="33" max="33" width="20.42578125" style="21" customWidth="1"/>
    <col min="34" max="34" width="16.28515625" style="21" bestFit="1" customWidth="1"/>
    <col min="35" max="35" width="8.85546875" style="21" bestFit="1" customWidth="1"/>
    <col min="36" max="36" width="20.28515625" style="21" customWidth="1"/>
    <col min="37" max="37" width="12.85546875" style="21" bestFit="1" customWidth="1"/>
    <col min="38" max="38" width="10.28515625" style="21" customWidth="1"/>
    <col min="39" max="41" width="9.140625" style="21"/>
    <col min="42" max="42" width="13.28515625" style="21" customWidth="1"/>
    <col min="43" max="43" width="9.140625" style="21"/>
    <col min="44" max="44" width="12.28515625" style="21" customWidth="1"/>
    <col min="45" max="16384" width="9.140625" style="21"/>
  </cols>
  <sheetData>
    <row r="1" spans="2:44" ht="10.5" customHeight="1" thickBot="1" x14ac:dyDescent="0.3"/>
    <row r="2" spans="2:44" ht="19.5" thickBot="1" x14ac:dyDescent="0.35">
      <c r="C2" s="483" t="s">
        <v>58</v>
      </c>
      <c r="D2" s="484"/>
      <c r="E2" s="484"/>
      <c r="F2" s="484"/>
      <c r="G2" s="484"/>
      <c r="H2" s="484"/>
      <c r="I2" s="484"/>
      <c r="J2" s="484"/>
      <c r="K2" s="484"/>
      <c r="L2" s="485"/>
      <c r="M2" s="483" t="s">
        <v>66</v>
      </c>
      <c r="N2" s="484"/>
      <c r="O2" s="484"/>
      <c r="P2" s="484"/>
      <c r="Q2" s="484"/>
      <c r="R2" s="484"/>
      <c r="S2" s="484"/>
      <c r="T2" s="484"/>
      <c r="U2" s="484"/>
      <c r="V2" s="486"/>
      <c r="W2" s="486"/>
      <c r="X2" s="486"/>
      <c r="Y2" s="484"/>
      <c r="Z2" s="485"/>
      <c r="AA2" s="483" t="s">
        <v>69</v>
      </c>
      <c r="AB2" s="484"/>
      <c r="AC2" s="484"/>
      <c r="AD2" s="484"/>
      <c r="AE2" s="484"/>
      <c r="AF2" s="484"/>
      <c r="AG2" s="484"/>
      <c r="AH2" s="484"/>
      <c r="AI2" s="484"/>
      <c r="AJ2" s="484"/>
      <c r="AK2" s="484"/>
      <c r="AL2" s="484"/>
      <c r="AM2" s="484"/>
      <c r="AN2" s="484"/>
      <c r="AO2" s="484"/>
      <c r="AP2" s="484"/>
      <c r="AQ2" s="484"/>
      <c r="AR2" s="485"/>
    </row>
    <row r="3" spans="2:44" ht="29.25" customHeight="1" thickBot="1" x14ac:dyDescent="0.3">
      <c r="C3" s="490" t="s">
        <v>59</v>
      </c>
      <c r="D3" s="492" t="s">
        <v>60</v>
      </c>
      <c r="E3" s="492" t="s">
        <v>104</v>
      </c>
      <c r="F3" s="492" t="s">
        <v>61</v>
      </c>
      <c r="G3" s="492" t="s">
        <v>62</v>
      </c>
      <c r="H3" s="438" t="s">
        <v>118</v>
      </c>
      <c r="I3" s="438" t="s">
        <v>214</v>
      </c>
      <c r="J3" s="438" t="s">
        <v>39</v>
      </c>
      <c r="K3" s="424" t="s">
        <v>75</v>
      </c>
      <c r="L3" s="425"/>
      <c r="M3" s="438" t="s">
        <v>63</v>
      </c>
      <c r="N3" s="438" t="s">
        <v>70</v>
      </c>
      <c r="O3" s="438" t="s">
        <v>71</v>
      </c>
      <c r="P3" s="438" t="s">
        <v>74</v>
      </c>
      <c r="Q3" s="474" t="s">
        <v>164</v>
      </c>
      <c r="R3" s="475"/>
      <c r="S3" s="476"/>
      <c r="T3" s="424" t="s">
        <v>294</v>
      </c>
      <c r="U3" s="425"/>
      <c r="V3" s="477" t="s">
        <v>297</v>
      </c>
      <c r="W3" s="478"/>
      <c r="X3" s="479" t="s">
        <v>319</v>
      </c>
      <c r="Y3" s="438" t="s">
        <v>64</v>
      </c>
      <c r="Z3" s="438" t="s">
        <v>65</v>
      </c>
      <c r="AA3" s="438" t="s">
        <v>77</v>
      </c>
      <c r="AB3" s="446" t="s">
        <v>72</v>
      </c>
      <c r="AC3" s="447"/>
      <c r="AD3" s="447"/>
      <c r="AE3" s="447"/>
      <c r="AF3" s="448"/>
      <c r="AG3" s="438" t="s">
        <v>73</v>
      </c>
      <c r="AH3" s="430" t="s">
        <v>67</v>
      </c>
      <c r="AI3" s="430" t="s">
        <v>105</v>
      </c>
      <c r="AJ3" s="428" t="s">
        <v>68</v>
      </c>
      <c r="AK3" s="428" t="s">
        <v>106</v>
      </c>
      <c r="AL3" s="430" t="s">
        <v>78</v>
      </c>
      <c r="AM3" s="487" t="s">
        <v>76</v>
      </c>
      <c r="AN3" s="488"/>
      <c r="AO3" s="488"/>
      <c r="AP3" s="488"/>
      <c r="AQ3" s="488"/>
      <c r="AR3" s="489"/>
    </row>
    <row r="4" spans="2:44" ht="30.75" thickBot="1" x14ac:dyDescent="0.3">
      <c r="C4" s="491"/>
      <c r="D4" s="493"/>
      <c r="E4" s="493"/>
      <c r="F4" s="493"/>
      <c r="G4" s="493"/>
      <c r="H4" s="439"/>
      <c r="I4" s="439"/>
      <c r="J4" s="439"/>
      <c r="K4" s="426"/>
      <c r="L4" s="427"/>
      <c r="M4" s="439"/>
      <c r="N4" s="439"/>
      <c r="O4" s="439"/>
      <c r="P4" s="439"/>
      <c r="Q4" s="284" t="s">
        <v>201</v>
      </c>
      <c r="R4" s="284" t="s">
        <v>202</v>
      </c>
      <c r="S4" s="343" t="s">
        <v>129</v>
      </c>
      <c r="T4" s="351" t="s">
        <v>70</v>
      </c>
      <c r="U4" s="351" t="s">
        <v>295</v>
      </c>
      <c r="V4" s="417" t="s">
        <v>299</v>
      </c>
      <c r="W4" s="417" t="s">
        <v>298</v>
      </c>
      <c r="X4" s="480"/>
      <c r="Y4" s="439"/>
      <c r="Z4" s="439"/>
      <c r="AA4" s="439"/>
      <c r="AB4" s="257" t="s">
        <v>172</v>
      </c>
      <c r="AC4" s="257" t="s">
        <v>173</v>
      </c>
      <c r="AD4" s="257" t="s">
        <v>174</v>
      </c>
      <c r="AE4" s="257" t="s">
        <v>120</v>
      </c>
      <c r="AF4" s="257" t="s">
        <v>121</v>
      </c>
      <c r="AG4" s="439"/>
      <c r="AH4" s="431"/>
      <c r="AI4" s="431"/>
      <c r="AJ4" s="429"/>
      <c r="AK4" s="429"/>
      <c r="AL4" s="431"/>
      <c r="AM4" s="267"/>
      <c r="AN4" s="268"/>
      <c r="AO4" s="268"/>
      <c r="AP4" s="268"/>
      <c r="AQ4" s="268"/>
      <c r="AR4" s="269"/>
    </row>
    <row r="5" spans="2:44" ht="50.25" customHeight="1" x14ac:dyDescent="0.25">
      <c r="B5" s="461" t="s">
        <v>107</v>
      </c>
      <c r="C5" s="583">
        <v>1</v>
      </c>
      <c r="D5" s="324" t="s">
        <v>330</v>
      </c>
      <c r="E5" s="324">
        <v>3</v>
      </c>
      <c r="F5" s="324" t="s">
        <v>205</v>
      </c>
      <c r="G5" s="324" t="s">
        <v>62</v>
      </c>
      <c r="H5" s="324" t="s">
        <v>327</v>
      </c>
      <c r="I5" s="580">
        <v>110000</v>
      </c>
      <c r="J5" s="575">
        <v>1</v>
      </c>
      <c r="K5" s="581">
        <f>IF(E5=3,I5/(J5*380*SQRT(3)),IF(E5=1,I5/(J5*220)))</f>
        <v>167.1277095022601</v>
      </c>
      <c r="L5" s="582"/>
      <c r="M5" s="325">
        <v>3</v>
      </c>
      <c r="N5" s="324">
        <v>1</v>
      </c>
      <c r="O5" s="324">
        <v>40</v>
      </c>
      <c r="P5" s="324"/>
      <c r="Q5" s="324" t="s">
        <v>143</v>
      </c>
      <c r="R5" s="325">
        <v>40</v>
      </c>
      <c r="S5" s="325" t="s">
        <v>87</v>
      </c>
      <c r="T5" s="325">
        <v>1</v>
      </c>
      <c r="U5" s="393" t="s">
        <v>144</v>
      </c>
      <c r="V5" s="416" t="s">
        <v>328</v>
      </c>
      <c r="W5" s="416" t="s">
        <v>329</v>
      </c>
      <c r="X5" s="416" t="s">
        <v>161</v>
      </c>
      <c r="Y5" s="324">
        <f>'Tabela 42 Agrupamento'!B18</f>
        <v>1</v>
      </c>
      <c r="Z5" s="575">
        <f>'Tabela 40 Temperatura'!J5</f>
        <v>0.85</v>
      </c>
      <c r="AA5" s="576">
        <f>K5/(Y5*Z5)</f>
        <v>196.62083470854131</v>
      </c>
      <c r="AB5" s="577" t="str">
        <f>IF(V5="Sim",'Tabela 37 EPR'!S26,'Tabela 37 EPR'!P28)</f>
        <v>2x25</v>
      </c>
      <c r="AC5" s="577" t="str">
        <f>AB5</f>
        <v>2x25</v>
      </c>
      <c r="AD5" s="577" t="str">
        <f>AB5</f>
        <v>2x25</v>
      </c>
      <c r="AE5" s="577">
        <f>'Tabela 37 EPR'!P28</f>
        <v>95</v>
      </c>
      <c r="AF5" s="577">
        <f>'Tabela 37 EPR'!P33</f>
        <v>16</v>
      </c>
      <c r="AG5" s="324">
        <f>IF(V5="Sim",'Tabela 37 EPR'!S27,IF('Tabela 37 EPR'!P30="Sem correção",'Tabela 37 EPR'!P35,'Tabela 37 EPR'!P36))</f>
        <v>202</v>
      </c>
      <c r="AH5" s="578"/>
      <c r="AI5" s="579">
        <v>200</v>
      </c>
      <c r="AJ5" s="264"/>
      <c r="AK5" s="264"/>
      <c r="AL5" s="197"/>
      <c r="AM5" s="449"/>
      <c r="AN5" s="450"/>
      <c r="AO5" s="450"/>
      <c r="AP5" s="450"/>
      <c r="AQ5" s="450"/>
      <c r="AR5" s="473"/>
    </row>
    <row r="6" spans="2:44" x14ac:dyDescent="0.25">
      <c r="B6" s="462"/>
      <c r="C6" s="32">
        <v>2</v>
      </c>
      <c r="D6" s="315"/>
      <c r="E6" s="315"/>
      <c r="F6" s="315"/>
      <c r="G6" s="315"/>
      <c r="H6" s="315"/>
      <c r="I6" s="326"/>
      <c r="J6" s="313"/>
      <c r="K6" s="440" t="b">
        <f>IF(E6=3,I6/(J6*J6*380*SQRT(3)),IF(E6=1,I6/(J6*220)))</f>
        <v>0</v>
      </c>
      <c r="L6" s="441"/>
      <c r="M6" s="258"/>
      <c r="N6" s="260"/>
      <c r="O6" s="260"/>
      <c r="P6" s="260"/>
      <c r="Q6" s="307" t="s">
        <v>128</v>
      </c>
      <c r="R6" s="306">
        <v>45</v>
      </c>
      <c r="S6" s="341" t="s">
        <v>87</v>
      </c>
      <c r="T6" s="341">
        <f>IF(V6="Sim",_xlfn.IFS(W6="2 Vias",N6+1,W6="3 Vias",N6+2,W6="4 Vias",N6+3,W6="5 Vias",N6+4,W6="1 Via",N6),N6)</f>
        <v>0</v>
      </c>
      <c r="U6" s="361" t="s">
        <v>144</v>
      </c>
      <c r="V6" s="361" t="s">
        <v>308</v>
      </c>
      <c r="W6" s="354" t="s">
        <v>134</v>
      </c>
      <c r="X6" s="418" t="s">
        <v>155</v>
      </c>
      <c r="Y6" s="260" t="e">
        <f>'Tabela 42 Agrupamento'!B24</f>
        <v>#N/A</v>
      </c>
      <c r="Z6" s="261">
        <f>'Tabela 40 Temperatura'!J10</f>
        <v>0.87</v>
      </c>
      <c r="AA6" s="123" t="e">
        <f>K6/(Y6*Z6)</f>
        <v>#N/A</v>
      </c>
      <c r="AB6" s="271" t="e">
        <f>IF(V6="Sim",'Tabela 37 EPR'!S45,'Tabela 37 EPR'!P47)</f>
        <v>#N/A</v>
      </c>
      <c r="AC6" s="271" t="e">
        <f>AB6</f>
        <v>#N/A</v>
      </c>
      <c r="AD6" s="271" t="e">
        <f>AB6</f>
        <v>#N/A</v>
      </c>
      <c r="AE6" s="271" t="e">
        <f>'Tabela 37 EPR'!P51</f>
        <v>#N/A</v>
      </c>
      <c r="AF6" s="271" t="e">
        <f>'Tabela 37 EPR'!P52</f>
        <v>#N/A</v>
      </c>
      <c r="AG6" s="260" t="e">
        <f>IF(V6="Sim",'Tabela 37 EPR'!S46,IF('Tabela 37 EPR'!P55="Sem correção",'Tabela 37 EPR'!P54,'Tabela 37 EPR'!P55))</f>
        <v>#N/A</v>
      </c>
      <c r="AH6" s="210"/>
      <c r="AI6" s="211">
        <v>30</v>
      </c>
      <c r="AJ6" s="260"/>
      <c r="AK6" s="260"/>
      <c r="AL6" s="198"/>
      <c r="AM6" s="432"/>
      <c r="AN6" s="468"/>
      <c r="AO6" s="468"/>
      <c r="AP6" s="468"/>
      <c r="AQ6" s="468"/>
      <c r="AR6" s="469"/>
    </row>
    <row r="7" spans="2:44" x14ac:dyDescent="0.25">
      <c r="B7" s="462"/>
      <c r="C7" s="36">
        <v>3</v>
      </c>
      <c r="D7" s="316"/>
      <c r="E7" s="316"/>
      <c r="F7" s="316"/>
      <c r="G7" s="316"/>
      <c r="H7" s="316"/>
      <c r="I7" s="316"/>
      <c r="J7" s="314"/>
      <c r="K7" s="444"/>
      <c r="L7" s="445"/>
      <c r="M7" s="259"/>
      <c r="N7" s="262"/>
      <c r="O7" s="262"/>
      <c r="P7" s="262"/>
      <c r="Q7" s="322"/>
      <c r="R7" s="320"/>
      <c r="S7" s="320"/>
      <c r="T7" s="320"/>
      <c r="U7" s="320"/>
      <c r="V7" s="320"/>
      <c r="W7" s="320"/>
      <c r="X7" s="320"/>
      <c r="Y7" s="262"/>
      <c r="Z7" s="263"/>
      <c r="AA7" s="124"/>
      <c r="AB7" s="270"/>
      <c r="AC7" s="249"/>
      <c r="AD7" s="270"/>
      <c r="AE7" s="270"/>
      <c r="AF7" s="250"/>
      <c r="AG7" s="262"/>
      <c r="AH7" s="210"/>
      <c r="AI7" s="211"/>
      <c r="AJ7" s="262"/>
      <c r="AK7" s="262"/>
      <c r="AL7" s="199"/>
      <c r="AM7" s="435"/>
      <c r="AN7" s="466"/>
      <c r="AO7" s="466"/>
      <c r="AP7" s="466"/>
      <c r="AQ7" s="466"/>
      <c r="AR7" s="467"/>
    </row>
    <row r="8" spans="2:44" x14ac:dyDescent="0.25">
      <c r="B8" s="462"/>
      <c r="C8" s="32">
        <v>4</v>
      </c>
      <c r="D8" s="315"/>
      <c r="E8" s="315"/>
      <c r="F8" s="315"/>
      <c r="G8" s="315"/>
      <c r="H8" s="315"/>
      <c r="I8" s="315"/>
      <c r="J8" s="313"/>
      <c r="K8" s="440"/>
      <c r="L8" s="441"/>
      <c r="M8" s="258"/>
      <c r="N8" s="260"/>
      <c r="O8" s="260"/>
      <c r="P8" s="260"/>
      <c r="Q8" s="321"/>
      <c r="R8" s="318"/>
      <c r="S8" s="318"/>
      <c r="T8" s="318"/>
      <c r="U8" s="318"/>
      <c r="V8" s="318"/>
      <c r="W8" s="318"/>
      <c r="X8" s="318"/>
      <c r="Y8" s="260"/>
      <c r="Z8" s="261"/>
      <c r="AA8" s="123"/>
      <c r="AB8" s="271"/>
      <c r="AC8" s="271"/>
      <c r="AD8" s="271"/>
      <c r="AE8" s="271"/>
      <c r="AF8" s="271"/>
      <c r="AG8" s="260"/>
      <c r="AH8" s="210"/>
      <c r="AI8" s="211"/>
      <c r="AJ8" s="260"/>
      <c r="AK8" s="260"/>
      <c r="AL8" s="198"/>
      <c r="AM8" s="432"/>
      <c r="AN8" s="468"/>
      <c r="AO8" s="468"/>
      <c r="AP8" s="468"/>
      <c r="AQ8" s="468"/>
      <c r="AR8" s="469"/>
    </row>
    <row r="9" spans="2:44" x14ac:dyDescent="0.25">
      <c r="B9" s="462"/>
      <c r="C9" s="36">
        <v>5</v>
      </c>
      <c r="D9" s="316"/>
      <c r="E9" s="316"/>
      <c r="F9" s="316"/>
      <c r="G9" s="316"/>
      <c r="H9" s="316"/>
      <c r="I9" s="316"/>
      <c r="J9" s="314"/>
      <c r="K9" s="444"/>
      <c r="L9" s="445"/>
      <c r="M9" s="259"/>
      <c r="N9" s="262"/>
      <c r="O9" s="262"/>
      <c r="P9" s="262"/>
      <c r="Q9" s="322"/>
      <c r="R9" s="320"/>
      <c r="S9" s="320"/>
      <c r="T9" s="320"/>
      <c r="U9" s="320"/>
      <c r="V9" s="320"/>
      <c r="W9" s="320"/>
      <c r="X9" s="320"/>
      <c r="Y9" s="262"/>
      <c r="Z9" s="263"/>
      <c r="AA9" s="124"/>
      <c r="AB9" s="270"/>
      <c r="AC9" s="270"/>
      <c r="AD9" s="270"/>
      <c r="AE9" s="270"/>
      <c r="AF9" s="262"/>
      <c r="AG9" s="262"/>
      <c r="AH9" s="210"/>
      <c r="AI9" s="211"/>
      <c r="AJ9" s="262"/>
      <c r="AK9" s="262"/>
      <c r="AL9" s="199"/>
      <c r="AM9" s="435"/>
      <c r="AN9" s="466"/>
      <c r="AO9" s="466"/>
      <c r="AP9" s="466"/>
      <c r="AQ9" s="466"/>
      <c r="AR9" s="467"/>
    </row>
    <row r="10" spans="2:44" x14ac:dyDescent="0.25">
      <c r="B10" s="462"/>
      <c r="C10" s="32">
        <v>6</v>
      </c>
      <c r="D10" s="315"/>
      <c r="E10" s="315"/>
      <c r="F10" s="315"/>
      <c r="G10" s="315"/>
      <c r="H10" s="315"/>
      <c r="I10" s="315"/>
      <c r="J10" s="313"/>
      <c r="K10" s="440"/>
      <c r="L10" s="441"/>
      <c r="M10" s="258"/>
      <c r="N10" s="260"/>
      <c r="O10" s="260"/>
      <c r="P10" s="260"/>
      <c r="Q10" s="321"/>
      <c r="R10" s="318"/>
      <c r="S10" s="318"/>
      <c r="T10" s="318"/>
      <c r="U10" s="318"/>
      <c r="V10" s="318"/>
      <c r="W10" s="318"/>
      <c r="X10" s="318"/>
      <c r="Y10" s="260"/>
      <c r="Z10" s="261"/>
      <c r="AA10" s="123"/>
      <c r="AB10" s="271"/>
      <c r="AC10" s="271"/>
      <c r="AD10" s="271"/>
      <c r="AE10" s="271"/>
      <c r="AF10" s="260"/>
      <c r="AG10" s="260"/>
      <c r="AH10" s="210"/>
      <c r="AI10" s="245"/>
      <c r="AJ10" s="260"/>
      <c r="AK10" s="260"/>
      <c r="AL10" s="198"/>
      <c r="AM10" s="432"/>
      <c r="AN10" s="468"/>
      <c r="AO10" s="468"/>
      <c r="AP10" s="468"/>
      <c r="AQ10" s="468"/>
      <c r="AR10" s="469"/>
    </row>
    <row r="11" spans="2:44" x14ac:dyDescent="0.25">
      <c r="B11" s="462"/>
      <c r="C11" s="36">
        <v>7</v>
      </c>
      <c r="D11" s="316"/>
      <c r="E11" s="316"/>
      <c r="F11" s="316"/>
      <c r="G11" s="316"/>
      <c r="H11" s="316"/>
      <c r="I11" s="316"/>
      <c r="J11" s="314"/>
      <c r="K11" s="444"/>
      <c r="L11" s="445"/>
      <c r="M11" s="259"/>
      <c r="N11" s="262"/>
      <c r="O11" s="262"/>
      <c r="P11" s="262"/>
      <c r="Q11" s="322"/>
      <c r="R11" s="320"/>
      <c r="S11" s="320"/>
      <c r="T11" s="320"/>
      <c r="U11" s="320"/>
      <c r="V11" s="320"/>
      <c r="W11" s="320"/>
      <c r="X11" s="320"/>
      <c r="Y11" s="262"/>
      <c r="Z11" s="263"/>
      <c r="AA11" s="124" t="s">
        <v>123</v>
      </c>
      <c r="AB11" s="270"/>
      <c r="AC11" s="270"/>
      <c r="AD11" s="270"/>
      <c r="AE11" s="270"/>
      <c r="AF11" s="262"/>
      <c r="AG11" s="262"/>
      <c r="AH11" s="210"/>
      <c r="AI11" s="211"/>
      <c r="AJ11" s="262"/>
      <c r="AK11" s="262"/>
      <c r="AL11" s="199"/>
      <c r="AM11" s="435"/>
      <c r="AN11" s="466"/>
      <c r="AO11" s="466"/>
      <c r="AP11" s="466"/>
      <c r="AQ11" s="466"/>
      <c r="AR11" s="467"/>
    </row>
    <row r="12" spans="2:44" x14ac:dyDescent="0.25">
      <c r="B12" s="462"/>
      <c r="C12" s="32">
        <v>8</v>
      </c>
      <c r="D12" s="315"/>
      <c r="E12" s="315"/>
      <c r="F12" s="315"/>
      <c r="G12" s="315"/>
      <c r="H12" s="315"/>
      <c r="I12" s="315"/>
      <c r="J12" s="313"/>
      <c r="K12" s="440"/>
      <c r="L12" s="441"/>
      <c r="M12" s="258"/>
      <c r="N12" s="260"/>
      <c r="O12" s="260"/>
      <c r="P12" s="260"/>
      <c r="Q12" s="321"/>
      <c r="R12" s="318"/>
      <c r="S12" s="318"/>
      <c r="T12" s="318"/>
      <c r="U12" s="318"/>
      <c r="V12" s="318"/>
      <c r="W12" s="318"/>
      <c r="X12" s="318"/>
      <c r="Y12" s="260"/>
      <c r="Z12" s="261"/>
      <c r="AA12" s="123"/>
      <c r="AB12" s="271"/>
      <c r="AC12" s="305"/>
      <c r="AD12" s="305" t="s">
        <v>124</v>
      </c>
      <c r="AE12" s="305"/>
      <c r="AF12" s="260"/>
      <c r="AG12" s="260"/>
      <c r="AH12" s="210"/>
      <c r="AI12" s="211"/>
      <c r="AJ12" s="260"/>
      <c r="AK12" s="260"/>
      <c r="AL12" s="198"/>
      <c r="AM12" s="432"/>
      <c r="AN12" s="468"/>
      <c r="AO12" s="468"/>
      <c r="AP12" s="468"/>
      <c r="AQ12" s="468"/>
      <c r="AR12" s="469"/>
    </row>
    <row r="13" spans="2:44" x14ac:dyDescent="0.25">
      <c r="B13" s="462"/>
      <c r="C13" s="36">
        <v>9</v>
      </c>
      <c r="D13" s="316"/>
      <c r="E13" s="316"/>
      <c r="F13" s="316"/>
      <c r="G13" s="316"/>
      <c r="H13" s="316"/>
      <c r="I13" s="316"/>
      <c r="J13" s="314"/>
      <c r="K13" s="444"/>
      <c r="L13" s="445"/>
      <c r="M13" s="259"/>
      <c r="N13" s="262"/>
      <c r="O13" s="262"/>
      <c r="P13" s="262"/>
      <c r="Q13" s="322"/>
      <c r="R13" s="320"/>
      <c r="S13" s="320"/>
      <c r="T13" s="320"/>
      <c r="U13" s="320"/>
      <c r="V13" s="320"/>
      <c r="W13" s="320"/>
      <c r="X13" s="320"/>
      <c r="Y13" s="262"/>
      <c r="Z13" s="263"/>
      <c r="AA13" s="124"/>
      <c r="AB13" s="270"/>
      <c r="AC13" s="270"/>
      <c r="AD13" s="270"/>
      <c r="AE13" s="270"/>
      <c r="AF13" s="262"/>
      <c r="AG13" s="262"/>
      <c r="AH13" s="210"/>
      <c r="AI13" s="211"/>
      <c r="AJ13" s="262"/>
      <c r="AK13" s="262"/>
      <c r="AL13" s="199"/>
      <c r="AM13" s="435"/>
      <c r="AN13" s="466"/>
      <c r="AO13" s="466"/>
      <c r="AP13" s="466"/>
      <c r="AQ13" s="466"/>
      <c r="AR13" s="467"/>
    </row>
    <row r="14" spans="2:44" x14ac:dyDescent="0.25">
      <c r="B14" s="462"/>
      <c r="C14" s="32">
        <v>10</v>
      </c>
      <c r="D14" s="315"/>
      <c r="E14" s="315"/>
      <c r="F14" s="315"/>
      <c r="G14" s="315"/>
      <c r="H14" s="315"/>
      <c r="I14" s="315"/>
      <c r="J14" s="313"/>
      <c r="K14" s="440"/>
      <c r="L14" s="441"/>
      <c r="M14" s="258"/>
      <c r="N14" s="260"/>
      <c r="O14" s="260"/>
      <c r="P14" s="260"/>
      <c r="Q14" s="321"/>
      <c r="R14" s="318"/>
      <c r="S14" s="318"/>
      <c r="T14" s="318"/>
      <c r="U14" s="318"/>
      <c r="V14" s="318"/>
      <c r="W14" s="318"/>
      <c r="X14" s="318"/>
      <c r="Y14" s="260"/>
      <c r="Z14" s="261"/>
      <c r="AA14" s="123"/>
      <c r="AB14" s="271"/>
      <c r="AC14" s="271"/>
      <c r="AD14" s="271"/>
      <c r="AE14" s="271"/>
      <c r="AF14" s="260"/>
      <c r="AG14" s="260"/>
      <c r="AH14" s="210"/>
      <c r="AI14" s="211"/>
      <c r="AJ14" s="260"/>
      <c r="AK14" s="260"/>
      <c r="AL14" s="198"/>
      <c r="AM14" s="432"/>
      <c r="AN14" s="468"/>
      <c r="AO14" s="468"/>
      <c r="AP14" s="468"/>
      <c r="AQ14" s="468"/>
      <c r="AR14" s="469"/>
    </row>
    <row r="15" spans="2:44" x14ac:dyDescent="0.25">
      <c r="B15" s="462"/>
      <c r="C15" s="36">
        <v>11</v>
      </c>
      <c r="D15" s="316"/>
      <c r="E15" s="316"/>
      <c r="F15" s="316"/>
      <c r="G15" s="316"/>
      <c r="H15" s="316"/>
      <c r="I15" s="316"/>
      <c r="J15" s="314"/>
      <c r="K15" s="444"/>
      <c r="L15" s="445"/>
      <c r="M15" s="259"/>
      <c r="N15" s="262"/>
      <c r="O15" s="262"/>
      <c r="P15" s="262"/>
      <c r="Q15" s="322"/>
      <c r="R15" s="320"/>
      <c r="S15" s="320"/>
      <c r="T15" s="320"/>
      <c r="U15" s="320"/>
      <c r="V15" s="320"/>
      <c r="W15" s="320"/>
      <c r="X15" s="320"/>
      <c r="Y15" s="262"/>
      <c r="Z15" s="263"/>
      <c r="AA15" s="124"/>
      <c r="AB15" s="270"/>
      <c r="AC15" s="270"/>
      <c r="AD15" s="270"/>
      <c r="AE15" s="270"/>
      <c r="AF15" s="262"/>
      <c r="AG15" s="262"/>
      <c r="AH15" s="210"/>
      <c r="AI15" s="211"/>
      <c r="AJ15" s="262"/>
      <c r="AK15" s="262"/>
      <c r="AL15" s="199"/>
      <c r="AM15" s="435"/>
      <c r="AN15" s="466"/>
      <c r="AO15" s="466"/>
      <c r="AP15" s="466"/>
      <c r="AQ15" s="466"/>
      <c r="AR15" s="467"/>
    </row>
    <row r="16" spans="2:44" x14ac:dyDescent="0.25">
      <c r="B16" s="462"/>
      <c r="C16" s="32">
        <v>12</v>
      </c>
      <c r="D16" s="315"/>
      <c r="E16" s="315"/>
      <c r="F16" s="315"/>
      <c r="G16" s="315"/>
      <c r="H16" s="315"/>
      <c r="I16" s="315"/>
      <c r="J16" s="313"/>
      <c r="K16" s="440"/>
      <c r="L16" s="441"/>
      <c r="M16" s="258"/>
      <c r="N16" s="260"/>
      <c r="O16" s="260"/>
      <c r="P16" s="260"/>
      <c r="Q16" s="321"/>
      <c r="R16" s="318"/>
      <c r="S16" s="318"/>
      <c r="T16" s="318"/>
      <c r="U16" s="318"/>
      <c r="V16" s="318"/>
      <c r="W16" s="318"/>
      <c r="X16" s="318"/>
      <c r="Y16" s="260"/>
      <c r="Z16" s="261"/>
      <c r="AA16" s="123"/>
      <c r="AB16" s="271"/>
      <c r="AC16" s="271"/>
      <c r="AD16" s="271"/>
      <c r="AE16" s="271"/>
      <c r="AF16" s="260"/>
      <c r="AG16" s="260"/>
      <c r="AH16" s="210"/>
      <c r="AI16" s="211"/>
      <c r="AJ16" s="260"/>
      <c r="AK16" s="260"/>
      <c r="AL16" s="198"/>
      <c r="AM16" s="432"/>
      <c r="AN16" s="468"/>
      <c r="AO16" s="468"/>
      <c r="AP16" s="468"/>
      <c r="AQ16" s="468"/>
      <c r="AR16" s="469"/>
    </row>
    <row r="17" spans="2:44" x14ac:dyDescent="0.25">
      <c r="B17" s="462"/>
      <c r="C17" s="36">
        <v>13</v>
      </c>
      <c r="D17" s="316"/>
      <c r="E17" s="316"/>
      <c r="F17" s="316"/>
      <c r="G17" s="316"/>
      <c r="H17" s="316"/>
      <c r="I17" s="316"/>
      <c r="J17" s="314"/>
      <c r="K17" s="444"/>
      <c r="L17" s="445"/>
      <c r="M17" s="259"/>
      <c r="N17" s="262"/>
      <c r="O17" s="262"/>
      <c r="P17" s="262"/>
      <c r="Q17" s="322"/>
      <c r="R17" s="320"/>
      <c r="S17" s="320"/>
      <c r="T17" s="320"/>
      <c r="U17" s="320"/>
      <c r="V17" s="320"/>
      <c r="W17" s="320"/>
      <c r="X17" s="320"/>
      <c r="Y17" s="262"/>
      <c r="Z17" s="263"/>
      <c r="AA17" s="124"/>
      <c r="AB17" s="270"/>
      <c r="AC17" s="270"/>
      <c r="AD17" s="270"/>
      <c r="AE17" s="270"/>
      <c r="AF17" s="262"/>
      <c r="AG17" s="262"/>
      <c r="AH17" s="210"/>
      <c r="AI17" s="211"/>
      <c r="AJ17" s="262"/>
      <c r="AK17" s="262"/>
      <c r="AL17" s="199"/>
      <c r="AM17" s="435"/>
      <c r="AN17" s="466"/>
      <c r="AO17" s="466"/>
      <c r="AP17" s="466"/>
      <c r="AQ17" s="466"/>
      <c r="AR17" s="467"/>
    </row>
    <row r="18" spans="2:44" x14ac:dyDescent="0.25">
      <c r="B18" s="462"/>
      <c r="C18" s="32">
        <v>14</v>
      </c>
      <c r="D18" s="315"/>
      <c r="E18" s="315"/>
      <c r="F18" s="315"/>
      <c r="G18" s="315"/>
      <c r="H18" s="315"/>
      <c r="I18" s="315"/>
      <c r="J18" s="313"/>
      <c r="K18" s="440"/>
      <c r="L18" s="441"/>
      <c r="M18" s="258"/>
      <c r="N18" s="260"/>
      <c r="O18" s="260"/>
      <c r="P18" s="260"/>
      <c r="Q18" s="321"/>
      <c r="R18" s="318"/>
      <c r="S18" s="318"/>
      <c r="T18" s="318"/>
      <c r="U18" s="318"/>
      <c r="V18" s="318"/>
      <c r="W18" s="318"/>
      <c r="X18" s="318"/>
      <c r="Y18" s="260"/>
      <c r="Z18" s="261"/>
      <c r="AA18" s="123"/>
      <c r="AB18" s="271"/>
      <c r="AC18" s="271"/>
      <c r="AD18" s="271"/>
      <c r="AE18" s="271"/>
      <c r="AF18" s="260"/>
      <c r="AG18" s="260"/>
      <c r="AH18" s="210"/>
      <c r="AI18" s="211"/>
      <c r="AJ18" s="260"/>
      <c r="AK18" s="260"/>
      <c r="AL18" s="198"/>
      <c r="AM18" s="432"/>
      <c r="AN18" s="468"/>
      <c r="AO18" s="468"/>
      <c r="AP18" s="468"/>
      <c r="AQ18" s="468"/>
      <c r="AR18" s="469"/>
    </row>
    <row r="19" spans="2:44" ht="15.75" thickBot="1" x14ac:dyDescent="0.3">
      <c r="B19" s="463"/>
      <c r="C19" s="181">
        <v>15</v>
      </c>
      <c r="D19" s="265"/>
      <c r="E19" s="265"/>
      <c r="F19" s="265"/>
      <c r="G19" s="265"/>
      <c r="H19" s="265"/>
      <c r="I19" s="265"/>
      <c r="J19" s="317"/>
      <c r="K19" s="442"/>
      <c r="L19" s="443"/>
      <c r="M19" s="234"/>
      <c r="N19" s="265"/>
      <c r="O19" s="265"/>
      <c r="P19" s="265"/>
      <c r="Q19" s="323"/>
      <c r="R19" s="319"/>
      <c r="S19" s="319"/>
      <c r="T19" s="319"/>
      <c r="U19" s="319"/>
      <c r="V19" s="319"/>
      <c r="W19" s="319"/>
      <c r="X19" s="319"/>
      <c r="Y19" s="265"/>
      <c r="Z19" s="266"/>
      <c r="AA19" s="182"/>
      <c r="AB19" s="272"/>
      <c r="AC19" s="272"/>
      <c r="AD19" s="272"/>
      <c r="AE19" s="272"/>
      <c r="AF19" s="265"/>
      <c r="AG19" s="265"/>
      <c r="AH19" s="212"/>
      <c r="AI19" s="213"/>
      <c r="AJ19" s="265"/>
      <c r="AK19" s="265"/>
      <c r="AL19" s="200"/>
      <c r="AM19" s="470"/>
      <c r="AN19" s="471"/>
      <c r="AO19" s="471"/>
      <c r="AP19" s="471"/>
      <c r="AQ19" s="471"/>
      <c r="AR19" s="472"/>
    </row>
    <row r="20" spans="2:44" ht="15.75" thickBot="1" x14ac:dyDescent="0.3">
      <c r="C20" s="183"/>
      <c r="D20" s="184"/>
      <c r="E20" s="184"/>
      <c r="F20" s="184"/>
      <c r="G20" s="184"/>
      <c r="H20" s="184"/>
      <c r="I20" s="184"/>
      <c r="J20" s="184"/>
      <c r="K20" s="219"/>
      <c r="L20" s="207"/>
      <c r="M20" s="183"/>
      <c r="N20" s="184"/>
      <c r="O20" s="184"/>
      <c r="P20" s="184"/>
      <c r="Q20" s="285"/>
      <c r="R20" s="285"/>
      <c r="S20" s="340"/>
      <c r="T20" s="340"/>
      <c r="U20" s="340"/>
      <c r="V20" s="353"/>
      <c r="W20" s="353"/>
      <c r="X20" s="394"/>
      <c r="Y20" s="184"/>
      <c r="Z20" s="185"/>
      <c r="AA20" s="186"/>
      <c r="AB20" s="217"/>
      <c r="AC20" s="217"/>
      <c r="AD20" s="217"/>
      <c r="AE20" s="217"/>
      <c r="AF20" s="184"/>
      <c r="AG20" s="184"/>
      <c r="AH20" s="187"/>
      <c r="AI20" s="184"/>
      <c r="AJ20" s="184"/>
      <c r="AK20" s="184"/>
      <c r="AL20" s="188"/>
      <c r="AM20" s="433"/>
      <c r="AN20" s="433"/>
      <c r="AO20" s="433"/>
      <c r="AP20" s="433"/>
      <c r="AQ20" s="433"/>
      <c r="AR20" s="469"/>
    </row>
    <row r="21" spans="2:44" ht="30.75" thickBot="1" x14ac:dyDescent="0.3">
      <c r="B21" s="21">
        <f>SUM(I22:I110)</f>
        <v>311.3</v>
      </c>
      <c r="C21" s="22" t="s">
        <v>59</v>
      </c>
      <c r="D21" s="206" t="s">
        <v>60</v>
      </c>
      <c r="E21" s="205" t="s">
        <v>61</v>
      </c>
      <c r="F21" s="104" t="s">
        <v>115</v>
      </c>
      <c r="G21" s="104" t="s">
        <v>116</v>
      </c>
      <c r="H21" s="104" t="s">
        <v>118</v>
      </c>
      <c r="I21" s="104" t="s">
        <v>114</v>
      </c>
      <c r="J21" s="104" t="s">
        <v>117</v>
      </c>
      <c r="K21" s="223" t="s">
        <v>122</v>
      </c>
      <c r="L21" s="208" t="s">
        <v>119</v>
      </c>
      <c r="M21" s="25" t="s">
        <v>63</v>
      </c>
      <c r="N21" s="24" t="s">
        <v>70</v>
      </c>
      <c r="O21" s="24" t="s">
        <v>71</v>
      </c>
      <c r="P21" s="24" t="s">
        <v>74</v>
      </c>
      <c r="Q21" s="283" t="s">
        <v>162</v>
      </c>
      <c r="R21" s="283" t="s">
        <v>163</v>
      </c>
      <c r="S21" s="342"/>
      <c r="T21" s="342"/>
      <c r="U21" s="342"/>
      <c r="V21" s="355"/>
      <c r="W21" s="355"/>
      <c r="X21" s="395"/>
      <c r="Y21" s="23" t="s">
        <v>64</v>
      </c>
      <c r="Z21" s="26" t="s">
        <v>65</v>
      </c>
      <c r="AA21" s="102" t="s">
        <v>77</v>
      </c>
      <c r="AB21" s="446" t="s">
        <v>72</v>
      </c>
      <c r="AC21" s="447"/>
      <c r="AD21" s="447"/>
      <c r="AE21" s="447"/>
      <c r="AF21" s="448"/>
      <c r="AG21" s="104" t="s">
        <v>73</v>
      </c>
      <c r="AH21" s="203" t="s">
        <v>67</v>
      </c>
      <c r="AI21" s="27" t="s">
        <v>105</v>
      </c>
      <c r="AJ21" s="204" t="s">
        <v>68</v>
      </c>
      <c r="AK21" s="204" t="s">
        <v>106</v>
      </c>
      <c r="AL21" s="202" t="s">
        <v>78</v>
      </c>
      <c r="AM21" s="481" t="s">
        <v>76</v>
      </c>
      <c r="AN21" s="481"/>
      <c r="AO21" s="481"/>
      <c r="AP21" s="481"/>
      <c r="AQ21" s="481"/>
      <c r="AR21" s="482"/>
    </row>
    <row r="22" spans="2:44" x14ac:dyDescent="0.25">
      <c r="B22" s="458" t="s">
        <v>108</v>
      </c>
      <c r="C22" s="28" t="s">
        <v>109</v>
      </c>
      <c r="D22" s="29" t="str">
        <f>IF(C22="S1","String 1"," ")</f>
        <v>String 1</v>
      </c>
      <c r="E22" s="29" t="s">
        <v>113</v>
      </c>
      <c r="F22" s="29">
        <v>1</v>
      </c>
      <c r="G22" s="29">
        <v>1</v>
      </c>
      <c r="H22" s="29" t="s">
        <v>188</v>
      </c>
      <c r="I22" s="29">
        <v>16</v>
      </c>
      <c r="J22" s="29">
        <v>528.29999999999995</v>
      </c>
      <c r="K22" s="220">
        <v>675.5</v>
      </c>
      <c r="L22" s="30">
        <f>Módulo!$B$3</f>
        <v>10.14</v>
      </c>
      <c r="M22" s="28">
        <v>2</v>
      </c>
      <c r="N22" s="29">
        <v>11</v>
      </c>
      <c r="O22" s="29">
        <v>45</v>
      </c>
      <c r="P22" s="29">
        <f>K54</f>
        <v>72.899999999999991</v>
      </c>
      <c r="Q22" s="288">
        <f>I22*Módulo!$B$4</f>
        <v>783.84</v>
      </c>
      <c r="R22" s="288">
        <f>I22*Módulo!$B$1</f>
        <v>6.56</v>
      </c>
      <c r="S22" s="347"/>
      <c r="T22" s="347"/>
      <c r="U22" s="347"/>
      <c r="V22" s="359"/>
      <c r="W22" s="359"/>
      <c r="X22" s="399"/>
      <c r="Y22" s="29">
        <v>0.7</v>
      </c>
      <c r="Z22" s="31">
        <v>0.87</v>
      </c>
      <c r="AA22" s="122">
        <f t="shared" ref="AA22:AA58" si="0">L22/(Y22*Z22)</f>
        <v>16.650246305418719</v>
      </c>
      <c r="AB22" s="449">
        <v>4</v>
      </c>
      <c r="AC22" s="450"/>
      <c r="AD22" s="450"/>
      <c r="AE22" s="450"/>
      <c r="AF22" s="451"/>
      <c r="AG22" s="29">
        <v>34</v>
      </c>
      <c r="AH22" s="350">
        <v>1.4E-2</v>
      </c>
      <c r="AI22" s="209">
        <v>16</v>
      </c>
      <c r="AJ22" s="29"/>
      <c r="AK22" s="29"/>
      <c r="AL22" s="197"/>
      <c r="AM22" s="464"/>
      <c r="AN22" s="464"/>
      <c r="AO22" s="464"/>
      <c r="AP22" s="464"/>
      <c r="AQ22" s="464"/>
      <c r="AR22" s="465"/>
    </row>
    <row r="23" spans="2:44" x14ac:dyDescent="0.25">
      <c r="B23" s="459"/>
      <c r="C23" s="32" t="s">
        <v>110</v>
      </c>
      <c r="D23" s="33" t="str">
        <f>IF(C23="S2","String 2"," ")</f>
        <v>String 2</v>
      </c>
      <c r="E23" s="33" t="s">
        <v>113</v>
      </c>
      <c r="F23" s="33">
        <v>1</v>
      </c>
      <c r="G23" s="33">
        <v>1</v>
      </c>
      <c r="H23" s="33" t="s">
        <v>188</v>
      </c>
      <c r="I23" s="33">
        <v>16</v>
      </c>
      <c r="J23" s="236">
        <f>J22</f>
        <v>528.29999999999995</v>
      </c>
      <c r="K23" s="255">
        <f>K22</f>
        <v>675.5</v>
      </c>
      <c r="L23" s="34">
        <f>Módulo!$B$3</f>
        <v>10.14</v>
      </c>
      <c r="M23" s="32">
        <v>2</v>
      </c>
      <c r="N23" s="33">
        <v>11</v>
      </c>
      <c r="O23" s="33">
        <v>45</v>
      </c>
      <c r="P23" s="33"/>
      <c r="Q23" s="287">
        <f>I23*Módulo!$B$4</f>
        <v>783.84</v>
      </c>
      <c r="R23" s="287">
        <f>I23*Módulo!$B$1</f>
        <v>6.56</v>
      </c>
      <c r="S23" s="344"/>
      <c r="T23" s="344"/>
      <c r="U23" s="344"/>
      <c r="V23" s="356"/>
      <c r="W23" s="356"/>
      <c r="X23" s="396"/>
      <c r="Y23" s="33">
        <v>0.7</v>
      </c>
      <c r="Z23" s="35">
        <v>0.87</v>
      </c>
      <c r="AA23" s="123">
        <f t="shared" si="0"/>
        <v>16.650246305418719</v>
      </c>
      <c r="AB23" s="432">
        <v>4</v>
      </c>
      <c r="AC23" s="433"/>
      <c r="AD23" s="433"/>
      <c r="AE23" s="433"/>
      <c r="AF23" s="434"/>
      <c r="AG23" s="33">
        <v>34</v>
      </c>
      <c r="AH23" s="214"/>
      <c r="AI23" s="209">
        <v>16</v>
      </c>
      <c r="AJ23" s="33"/>
      <c r="AK23" s="33"/>
      <c r="AL23" s="198"/>
      <c r="AM23" s="452"/>
      <c r="AN23" s="452"/>
      <c r="AO23" s="452"/>
      <c r="AP23" s="452"/>
      <c r="AQ23" s="452"/>
      <c r="AR23" s="453"/>
    </row>
    <row r="24" spans="2:44" x14ac:dyDescent="0.25">
      <c r="B24" s="459"/>
      <c r="C24" s="36" t="s">
        <v>125</v>
      </c>
      <c r="D24" s="37" t="str">
        <f>IF(C24="S3","String 3"," ")</f>
        <v>String 3</v>
      </c>
      <c r="E24" s="37" t="s">
        <v>113</v>
      </c>
      <c r="F24" s="37">
        <v>1</v>
      </c>
      <c r="G24" s="37">
        <v>2</v>
      </c>
      <c r="H24" s="37" t="s">
        <v>188</v>
      </c>
      <c r="I24" s="37">
        <v>14</v>
      </c>
      <c r="J24" s="235">
        <v>462.3</v>
      </c>
      <c r="K24" s="251">
        <v>591.1</v>
      </c>
      <c r="L24" s="38">
        <f>Módulo!$B$3</f>
        <v>10.14</v>
      </c>
      <c r="M24" s="36">
        <v>2</v>
      </c>
      <c r="N24" s="37">
        <v>11</v>
      </c>
      <c r="O24" s="37">
        <v>45</v>
      </c>
      <c r="P24" s="37"/>
      <c r="Q24" s="286">
        <f>I24*Módulo!$B$4</f>
        <v>685.86</v>
      </c>
      <c r="R24" s="286">
        <f>I24*Módulo!$B$1</f>
        <v>5.7399999999999993</v>
      </c>
      <c r="S24" s="345"/>
      <c r="T24" s="345"/>
      <c r="U24" s="345"/>
      <c r="V24" s="357"/>
      <c r="W24" s="357"/>
      <c r="X24" s="397"/>
      <c r="Y24" s="37">
        <v>0.7</v>
      </c>
      <c r="Z24" s="39">
        <v>0.87</v>
      </c>
      <c r="AA24" s="124">
        <f t="shared" si="0"/>
        <v>16.650246305418719</v>
      </c>
      <c r="AB24" s="435">
        <v>4</v>
      </c>
      <c r="AC24" s="436"/>
      <c r="AD24" s="436"/>
      <c r="AE24" s="436"/>
      <c r="AF24" s="437"/>
      <c r="AG24" s="37">
        <v>34</v>
      </c>
      <c r="AH24" s="210"/>
      <c r="AI24" s="209">
        <v>16</v>
      </c>
      <c r="AJ24" s="37"/>
      <c r="AK24" s="37"/>
      <c r="AL24" s="199"/>
      <c r="AM24" s="454"/>
      <c r="AN24" s="454"/>
      <c r="AO24" s="454"/>
      <c r="AP24" s="454"/>
      <c r="AQ24" s="454"/>
      <c r="AR24" s="455"/>
    </row>
    <row r="25" spans="2:44" x14ac:dyDescent="0.25">
      <c r="B25" s="459"/>
      <c r="C25" s="32" t="s">
        <v>206</v>
      </c>
      <c r="D25" s="256" t="str">
        <f>IF(C25="S4","String 4"," ")</f>
        <v>String 4</v>
      </c>
      <c r="E25" s="33" t="s">
        <v>113</v>
      </c>
      <c r="F25" s="33">
        <v>1</v>
      </c>
      <c r="G25" s="33">
        <v>3</v>
      </c>
      <c r="H25" s="33" t="s">
        <v>188</v>
      </c>
      <c r="I25" s="33">
        <v>13</v>
      </c>
      <c r="J25" s="242">
        <v>429.3</v>
      </c>
      <c r="K25" s="252">
        <v>548.9</v>
      </c>
      <c r="L25" s="34">
        <f>Módulo!$B$3</f>
        <v>10.14</v>
      </c>
      <c r="M25" s="32">
        <v>2</v>
      </c>
      <c r="N25" s="33">
        <v>11</v>
      </c>
      <c r="O25" s="33">
        <v>45</v>
      </c>
      <c r="P25" s="33"/>
      <c r="Q25" s="287">
        <f>I25*Módulo!$B$4</f>
        <v>636.87</v>
      </c>
      <c r="R25" s="287">
        <f>I25*Módulo!$B$1</f>
        <v>5.33</v>
      </c>
      <c r="S25" s="344"/>
      <c r="T25" s="344"/>
      <c r="U25" s="344"/>
      <c r="V25" s="356"/>
      <c r="W25" s="356"/>
      <c r="X25" s="396"/>
      <c r="Y25" s="33">
        <v>0.7</v>
      </c>
      <c r="Z25" s="35">
        <v>0.87</v>
      </c>
      <c r="AA25" s="123">
        <f t="shared" si="0"/>
        <v>16.650246305418719</v>
      </c>
      <c r="AB25" s="432">
        <v>4</v>
      </c>
      <c r="AC25" s="433"/>
      <c r="AD25" s="433"/>
      <c r="AE25" s="433"/>
      <c r="AF25" s="434"/>
      <c r="AG25" s="33">
        <v>34</v>
      </c>
      <c r="AH25" s="214"/>
      <c r="AI25" s="209">
        <v>16</v>
      </c>
      <c r="AJ25" s="33"/>
      <c r="AK25" s="33"/>
      <c r="AL25" s="198"/>
      <c r="AM25" s="452"/>
      <c r="AN25" s="452"/>
      <c r="AO25" s="452"/>
      <c r="AP25" s="452"/>
      <c r="AQ25" s="452"/>
      <c r="AR25" s="453"/>
    </row>
    <row r="26" spans="2:44" x14ac:dyDescent="0.25">
      <c r="B26" s="459"/>
      <c r="C26" s="36" t="s">
        <v>207</v>
      </c>
      <c r="D26" s="37" t="str">
        <f>IF(C26="S5","String 5"," ")</f>
        <v>String 5</v>
      </c>
      <c r="E26" s="37" t="s">
        <v>113</v>
      </c>
      <c r="F26" s="37">
        <v>1</v>
      </c>
      <c r="G26" s="37">
        <v>3</v>
      </c>
      <c r="H26" s="37" t="s">
        <v>188</v>
      </c>
      <c r="I26" s="37">
        <v>13</v>
      </c>
      <c r="J26" s="244">
        <f>J25</f>
        <v>429.3</v>
      </c>
      <c r="K26" s="241">
        <f>K25</f>
        <v>548.9</v>
      </c>
      <c r="L26" s="38">
        <f>Módulo!$B$3</f>
        <v>10.14</v>
      </c>
      <c r="M26" s="36">
        <v>2</v>
      </c>
      <c r="N26" s="37">
        <v>11</v>
      </c>
      <c r="O26" s="37">
        <v>45</v>
      </c>
      <c r="P26" s="37"/>
      <c r="Q26" s="286">
        <f>I26*Módulo!$B$4</f>
        <v>636.87</v>
      </c>
      <c r="R26" s="286">
        <f>I26*Módulo!$B$1</f>
        <v>5.33</v>
      </c>
      <c r="S26" s="345"/>
      <c r="T26" s="345"/>
      <c r="U26" s="345"/>
      <c r="V26" s="357"/>
      <c r="W26" s="357"/>
      <c r="X26" s="397"/>
      <c r="Y26" s="37">
        <v>0.7</v>
      </c>
      <c r="Z26" s="39">
        <v>0.87</v>
      </c>
      <c r="AA26" s="124">
        <f t="shared" si="0"/>
        <v>16.650246305418719</v>
      </c>
      <c r="AB26" s="435">
        <v>4</v>
      </c>
      <c r="AC26" s="436"/>
      <c r="AD26" s="436"/>
      <c r="AE26" s="436"/>
      <c r="AF26" s="437"/>
      <c r="AG26" s="37">
        <v>34</v>
      </c>
      <c r="AH26" s="210"/>
      <c r="AI26" s="209">
        <v>16</v>
      </c>
      <c r="AJ26" s="37"/>
      <c r="AK26" s="37"/>
      <c r="AL26" s="199"/>
      <c r="AM26" s="454"/>
      <c r="AN26" s="454"/>
      <c r="AO26" s="454"/>
      <c r="AP26" s="454"/>
      <c r="AQ26" s="454"/>
      <c r="AR26" s="455"/>
    </row>
    <row r="27" spans="2:44" x14ac:dyDescent="0.25">
      <c r="B27" s="459"/>
      <c r="C27" s="32" t="s">
        <v>208</v>
      </c>
      <c r="D27" s="33" t="str">
        <f>IF(C27="S6","String 6"," ")</f>
        <v>String 6</v>
      </c>
      <c r="E27" s="33" t="s">
        <v>113</v>
      </c>
      <c r="F27" s="33">
        <v>1</v>
      </c>
      <c r="G27" s="33">
        <v>4</v>
      </c>
      <c r="H27" s="33" t="s">
        <v>188</v>
      </c>
      <c r="I27" s="33">
        <v>12</v>
      </c>
      <c r="J27" s="242">
        <v>396.3</v>
      </c>
      <c r="K27" s="238">
        <v>506.6</v>
      </c>
      <c r="L27" s="34">
        <f>Módulo!$B$3</f>
        <v>10.14</v>
      </c>
      <c r="M27" s="32">
        <v>2</v>
      </c>
      <c r="N27" s="33">
        <v>11</v>
      </c>
      <c r="O27" s="33">
        <v>45</v>
      </c>
      <c r="P27" s="33"/>
      <c r="Q27" s="287">
        <f>I27*Módulo!$B$4</f>
        <v>587.88</v>
      </c>
      <c r="R27" s="287">
        <f>I27*Módulo!$B$1</f>
        <v>4.92</v>
      </c>
      <c r="S27" s="344"/>
      <c r="T27" s="344"/>
      <c r="U27" s="344"/>
      <c r="V27" s="356"/>
      <c r="W27" s="356"/>
      <c r="X27" s="396"/>
      <c r="Y27" s="33">
        <v>0.7</v>
      </c>
      <c r="Z27" s="35">
        <v>0.87</v>
      </c>
      <c r="AA27" s="123">
        <f t="shared" si="0"/>
        <v>16.650246305418719</v>
      </c>
      <c r="AB27" s="432">
        <v>4</v>
      </c>
      <c r="AC27" s="433"/>
      <c r="AD27" s="433"/>
      <c r="AE27" s="433"/>
      <c r="AF27" s="434"/>
      <c r="AG27" s="33">
        <v>34</v>
      </c>
      <c r="AH27" s="214"/>
      <c r="AI27" s="209">
        <v>16</v>
      </c>
      <c r="AJ27" s="33"/>
      <c r="AK27" s="33"/>
      <c r="AL27" s="198"/>
      <c r="AM27" s="452"/>
      <c r="AN27" s="452"/>
      <c r="AO27" s="452"/>
      <c r="AP27" s="452"/>
      <c r="AQ27" s="452"/>
      <c r="AR27" s="453"/>
    </row>
    <row r="28" spans="2:44" x14ac:dyDescent="0.25">
      <c r="B28" s="459"/>
      <c r="C28" s="36" t="s">
        <v>209</v>
      </c>
      <c r="D28" s="37" t="str">
        <f>IF(C28="S7","String 7"," ")</f>
        <v>String 7</v>
      </c>
      <c r="E28" s="37" t="s">
        <v>113</v>
      </c>
      <c r="F28" s="37">
        <v>1</v>
      </c>
      <c r="G28" s="37">
        <v>4</v>
      </c>
      <c r="H28" s="37" t="s">
        <v>188</v>
      </c>
      <c r="I28" s="37">
        <v>12</v>
      </c>
      <c r="J28" s="247">
        <f>J27</f>
        <v>396.3</v>
      </c>
      <c r="K28" s="246">
        <f>K27</f>
        <v>506.6</v>
      </c>
      <c r="L28" s="38">
        <f>Módulo!$B$3</f>
        <v>10.14</v>
      </c>
      <c r="M28" s="36">
        <v>2</v>
      </c>
      <c r="N28" s="37">
        <v>11</v>
      </c>
      <c r="O28" s="37">
        <v>45</v>
      </c>
      <c r="P28" s="37"/>
      <c r="Q28" s="286">
        <f>I28*Módulo!$B$4</f>
        <v>587.88</v>
      </c>
      <c r="R28" s="286">
        <f>I28*Módulo!$B$1</f>
        <v>4.92</v>
      </c>
      <c r="S28" s="345"/>
      <c r="T28" s="345"/>
      <c r="U28" s="345"/>
      <c r="V28" s="357"/>
      <c r="W28" s="357"/>
      <c r="X28" s="397"/>
      <c r="Y28" s="244">
        <v>0.7</v>
      </c>
      <c r="Z28" s="39">
        <v>0.87</v>
      </c>
      <c r="AA28" s="124">
        <f t="shared" si="0"/>
        <v>16.650246305418719</v>
      </c>
      <c r="AB28" s="435">
        <v>4</v>
      </c>
      <c r="AC28" s="436"/>
      <c r="AD28" s="436"/>
      <c r="AE28" s="436"/>
      <c r="AF28" s="437"/>
      <c r="AG28" s="37">
        <v>34</v>
      </c>
      <c r="AH28" s="210"/>
      <c r="AI28" s="209">
        <v>16</v>
      </c>
      <c r="AJ28" s="37"/>
      <c r="AK28" s="37"/>
      <c r="AL28" s="199"/>
      <c r="AM28" s="454"/>
      <c r="AN28" s="454"/>
      <c r="AO28" s="454"/>
      <c r="AP28" s="454"/>
      <c r="AQ28" s="454"/>
      <c r="AR28" s="455"/>
    </row>
    <row r="29" spans="2:44" x14ac:dyDescent="0.25">
      <c r="B29" s="459"/>
      <c r="C29" s="32" t="s">
        <v>210</v>
      </c>
      <c r="D29" s="33" t="str">
        <f>IF(C29="S8","String 8"," ")</f>
        <v>String 8</v>
      </c>
      <c r="E29" s="33" t="s">
        <v>113</v>
      </c>
      <c r="F29" s="33">
        <v>1</v>
      </c>
      <c r="G29" s="33">
        <v>5</v>
      </c>
      <c r="H29" s="33" t="s">
        <v>188</v>
      </c>
      <c r="I29" s="33">
        <v>16</v>
      </c>
      <c r="J29" s="236">
        <v>528.29999999999995</v>
      </c>
      <c r="K29" s="237">
        <v>675.5</v>
      </c>
      <c r="L29" s="34">
        <f>Módulo!$B$3</f>
        <v>10.14</v>
      </c>
      <c r="M29" s="32">
        <v>2</v>
      </c>
      <c r="N29" s="227">
        <v>11</v>
      </c>
      <c r="O29" s="33">
        <v>45</v>
      </c>
      <c r="P29" s="33"/>
      <c r="Q29" s="287">
        <f>I29*Módulo!$B$4</f>
        <v>783.84</v>
      </c>
      <c r="R29" s="287">
        <f>I29*Módulo!$B$1</f>
        <v>6.56</v>
      </c>
      <c r="S29" s="344"/>
      <c r="T29" s="344"/>
      <c r="U29" s="344"/>
      <c r="V29" s="356"/>
      <c r="W29" s="356"/>
      <c r="X29" s="396"/>
      <c r="Y29" s="242">
        <v>0.7</v>
      </c>
      <c r="Z29" s="35">
        <v>0.87</v>
      </c>
      <c r="AA29" s="123">
        <f t="shared" si="0"/>
        <v>16.650246305418719</v>
      </c>
      <c r="AB29" s="432">
        <v>4</v>
      </c>
      <c r="AC29" s="433"/>
      <c r="AD29" s="433"/>
      <c r="AE29" s="433"/>
      <c r="AF29" s="434"/>
      <c r="AG29" s="33">
        <v>34</v>
      </c>
      <c r="AH29" s="214"/>
      <c r="AI29" s="209">
        <v>16</v>
      </c>
      <c r="AJ29" s="33"/>
      <c r="AK29" s="33"/>
      <c r="AL29" s="198"/>
      <c r="AM29" s="452"/>
      <c r="AN29" s="452"/>
      <c r="AO29" s="452"/>
      <c r="AP29" s="452"/>
      <c r="AQ29" s="452"/>
      <c r="AR29" s="453"/>
    </row>
    <row r="30" spans="2:44" x14ac:dyDescent="0.25">
      <c r="B30" s="459"/>
      <c r="C30" s="36" t="s">
        <v>211</v>
      </c>
      <c r="D30" s="37" t="str">
        <f>IF(C30="S9","String 9"," ")</f>
        <v>String 9</v>
      </c>
      <c r="E30" s="37" t="s">
        <v>113</v>
      </c>
      <c r="F30" s="37">
        <v>1</v>
      </c>
      <c r="G30" s="37">
        <v>5</v>
      </c>
      <c r="H30" s="37" t="s">
        <v>188</v>
      </c>
      <c r="I30" s="37">
        <v>16</v>
      </c>
      <c r="J30" s="244">
        <f>J29</f>
        <v>528.29999999999995</v>
      </c>
      <c r="K30" s="241">
        <f>K29</f>
        <v>675.5</v>
      </c>
      <c r="L30" s="38">
        <f>Módulo!$B$3</f>
        <v>10.14</v>
      </c>
      <c r="M30" s="36">
        <v>2</v>
      </c>
      <c r="N30" s="225">
        <v>11</v>
      </c>
      <c r="O30" s="37">
        <v>45</v>
      </c>
      <c r="P30" s="37"/>
      <c r="Q30" s="286">
        <f>I30*Módulo!$B$4</f>
        <v>783.84</v>
      </c>
      <c r="R30" s="286">
        <f>I30*Módulo!$B$1</f>
        <v>6.56</v>
      </c>
      <c r="S30" s="345"/>
      <c r="T30" s="345"/>
      <c r="U30" s="345"/>
      <c r="V30" s="357"/>
      <c r="W30" s="357"/>
      <c r="X30" s="397"/>
      <c r="Y30" s="244">
        <v>0.7</v>
      </c>
      <c r="Z30" s="39">
        <v>0.87</v>
      </c>
      <c r="AA30" s="124">
        <f t="shared" si="0"/>
        <v>16.650246305418719</v>
      </c>
      <c r="AB30" s="435">
        <v>4</v>
      </c>
      <c r="AC30" s="436"/>
      <c r="AD30" s="436"/>
      <c r="AE30" s="436"/>
      <c r="AF30" s="437"/>
      <c r="AG30" s="37">
        <v>34</v>
      </c>
      <c r="AH30" s="210"/>
      <c r="AI30" s="209">
        <v>16</v>
      </c>
      <c r="AJ30" s="37"/>
      <c r="AK30" s="37"/>
      <c r="AL30" s="199"/>
      <c r="AM30" s="454"/>
      <c r="AN30" s="454"/>
      <c r="AO30" s="454"/>
      <c r="AP30" s="454"/>
      <c r="AQ30" s="454"/>
      <c r="AR30" s="455"/>
    </row>
    <row r="31" spans="2:44" x14ac:dyDescent="0.25">
      <c r="B31" s="459"/>
      <c r="C31" s="32" t="s">
        <v>212</v>
      </c>
      <c r="D31" s="33" t="str">
        <f>IF(C31="S10","String 10"," ")</f>
        <v>String 10</v>
      </c>
      <c r="E31" s="33" t="s">
        <v>113</v>
      </c>
      <c r="F31" s="33">
        <v>1</v>
      </c>
      <c r="G31" s="33">
        <v>6</v>
      </c>
      <c r="H31" s="33" t="s">
        <v>188</v>
      </c>
      <c r="I31" s="33">
        <v>12</v>
      </c>
      <c r="J31" s="242">
        <v>396.3</v>
      </c>
      <c r="K31" s="252">
        <v>506.6</v>
      </c>
      <c r="L31" s="34">
        <f>Módulo!$B$3</f>
        <v>10.14</v>
      </c>
      <c r="M31" s="32">
        <v>2</v>
      </c>
      <c r="N31" s="227">
        <v>11</v>
      </c>
      <c r="O31" s="33">
        <v>45</v>
      </c>
      <c r="P31" s="33"/>
      <c r="Q31" s="287">
        <f>I31*Módulo!$B$4</f>
        <v>587.88</v>
      </c>
      <c r="R31" s="287">
        <f>I31*Módulo!$B$1</f>
        <v>4.92</v>
      </c>
      <c r="S31" s="344"/>
      <c r="T31" s="344"/>
      <c r="U31" s="344"/>
      <c r="V31" s="356"/>
      <c r="W31" s="356"/>
      <c r="X31" s="396"/>
      <c r="Y31" s="242">
        <v>0.7</v>
      </c>
      <c r="Z31" s="35">
        <v>0.87</v>
      </c>
      <c r="AA31" s="123">
        <f t="shared" si="0"/>
        <v>16.650246305418719</v>
      </c>
      <c r="AB31" s="432">
        <v>4</v>
      </c>
      <c r="AC31" s="433"/>
      <c r="AD31" s="433"/>
      <c r="AE31" s="433"/>
      <c r="AF31" s="434"/>
      <c r="AG31" s="33">
        <v>34</v>
      </c>
      <c r="AH31" s="214"/>
      <c r="AI31" s="209">
        <v>16</v>
      </c>
      <c r="AJ31" s="33"/>
      <c r="AK31" s="33"/>
      <c r="AL31" s="198"/>
      <c r="AM31" s="452"/>
      <c r="AN31" s="452"/>
      <c r="AO31" s="452"/>
      <c r="AP31" s="452"/>
      <c r="AQ31" s="452"/>
      <c r="AR31" s="453"/>
    </row>
    <row r="32" spans="2:44" x14ac:dyDescent="0.25">
      <c r="B32" s="459"/>
      <c r="C32" s="36" t="s">
        <v>213</v>
      </c>
      <c r="D32" s="37" t="str">
        <f>IF(C32="S11","String 11"," ")</f>
        <v>String 11</v>
      </c>
      <c r="E32" s="37" t="s">
        <v>113</v>
      </c>
      <c r="F32" s="37">
        <v>1</v>
      </c>
      <c r="G32" s="312">
        <v>6</v>
      </c>
      <c r="H32" s="37" t="s">
        <v>188</v>
      </c>
      <c r="I32" s="37">
        <v>12</v>
      </c>
      <c r="J32" s="244">
        <f>J31</f>
        <v>396.3</v>
      </c>
      <c r="K32" s="251">
        <f>K31</f>
        <v>506.6</v>
      </c>
      <c r="L32" s="38">
        <f>Módulo!$B$3</f>
        <v>10.14</v>
      </c>
      <c r="M32" s="36">
        <v>2</v>
      </c>
      <c r="N32" s="225">
        <v>11</v>
      </c>
      <c r="O32" s="37">
        <v>45</v>
      </c>
      <c r="P32" s="37"/>
      <c r="Q32" s="286">
        <f>I32*Módulo!$B$4</f>
        <v>587.88</v>
      </c>
      <c r="R32" s="286">
        <f>I32*Módulo!$B$1</f>
        <v>4.92</v>
      </c>
      <c r="S32" s="345"/>
      <c r="T32" s="345"/>
      <c r="U32" s="345"/>
      <c r="V32" s="357"/>
      <c r="W32" s="357"/>
      <c r="X32" s="397"/>
      <c r="Y32" s="244">
        <v>0.7</v>
      </c>
      <c r="Z32" s="39">
        <v>0.87</v>
      </c>
      <c r="AA32" s="124">
        <f t="shared" si="0"/>
        <v>16.650246305418719</v>
      </c>
      <c r="AB32" s="435">
        <v>4</v>
      </c>
      <c r="AC32" s="436"/>
      <c r="AD32" s="436"/>
      <c r="AE32" s="436"/>
      <c r="AF32" s="437"/>
      <c r="AG32" s="37">
        <v>34</v>
      </c>
      <c r="AH32" s="210"/>
      <c r="AI32" s="209">
        <v>16</v>
      </c>
      <c r="AJ32" s="37"/>
      <c r="AK32" s="37"/>
      <c r="AL32" s="199"/>
      <c r="AM32" s="454"/>
      <c r="AN32" s="454"/>
      <c r="AO32" s="454"/>
      <c r="AP32" s="454"/>
      <c r="AQ32" s="454"/>
      <c r="AR32" s="455"/>
    </row>
    <row r="33" spans="2:44" x14ac:dyDescent="0.25">
      <c r="B33" s="459"/>
      <c r="C33" s="183"/>
      <c r="D33" s="227" t="str">
        <f>IF(C33="S12","String 12"," ")</f>
        <v xml:space="preserve"> </v>
      </c>
      <c r="E33" s="256"/>
      <c r="F33" s="328"/>
      <c r="G33" s="33"/>
      <c r="H33" s="33"/>
      <c r="I33" s="33">
        <f>SUM(I22:I32)</f>
        <v>152</v>
      </c>
      <c r="J33" s="242"/>
      <c r="K33" s="252"/>
      <c r="L33" s="34"/>
      <c r="M33" s="32"/>
      <c r="N33" s="227"/>
      <c r="O33" s="33"/>
      <c r="P33" s="33"/>
      <c r="Q33" s="287"/>
      <c r="R33" s="287">
        <f>SUM(R22:R32)</f>
        <v>62.320000000000007</v>
      </c>
      <c r="S33" s="344"/>
      <c r="T33" s="344"/>
      <c r="U33" s="344"/>
      <c r="V33" s="356"/>
      <c r="W33" s="356"/>
      <c r="X33" s="396"/>
      <c r="Y33" s="242"/>
      <c r="Z33" s="35"/>
      <c r="AA33" s="123" t="e">
        <f t="shared" si="0"/>
        <v>#DIV/0!</v>
      </c>
      <c r="AB33" s="432"/>
      <c r="AC33" s="433"/>
      <c r="AD33" s="433"/>
      <c r="AE33" s="433"/>
      <c r="AF33" s="434"/>
      <c r="AG33" s="33"/>
      <c r="AH33" s="214"/>
      <c r="AI33" s="209"/>
      <c r="AJ33" s="33"/>
      <c r="AK33" s="33"/>
      <c r="AL33" s="198"/>
      <c r="AM33" s="452"/>
      <c r="AN33" s="452"/>
      <c r="AO33" s="452"/>
      <c r="AP33" s="452"/>
      <c r="AQ33" s="452"/>
      <c r="AR33" s="453"/>
    </row>
    <row r="34" spans="2:44" x14ac:dyDescent="0.25">
      <c r="B34" s="459"/>
      <c r="C34" s="183"/>
      <c r="D34" s="242"/>
      <c r="E34" s="229"/>
      <c r="F34" s="33"/>
      <c r="G34" s="242"/>
      <c r="H34" s="242"/>
      <c r="I34" s="242"/>
      <c r="J34" s="242"/>
      <c r="K34" s="252"/>
      <c r="L34" s="34"/>
      <c r="M34" s="32"/>
      <c r="N34" s="242"/>
      <c r="O34" s="242"/>
      <c r="P34" s="242"/>
      <c r="Q34" s="287"/>
      <c r="R34" s="287"/>
      <c r="S34" s="344"/>
      <c r="T34" s="344"/>
      <c r="U34" s="344"/>
      <c r="V34" s="356"/>
      <c r="W34" s="356"/>
      <c r="X34" s="396"/>
      <c r="Y34" s="254"/>
      <c r="Z34" s="243"/>
      <c r="AA34" s="123" t="e">
        <f t="shared" si="0"/>
        <v>#DIV/0!</v>
      </c>
      <c r="AB34" s="248"/>
      <c r="AC34" s="239"/>
      <c r="AD34" s="239"/>
      <c r="AE34" s="239"/>
      <c r="AF34" s="240"/>
      <c r="AG34" s="242"/>
      <c r="AH34" s="214"/>
      <c r="AI34" s="209"/>
      <c r="AJ34" s="242"/>
      <c r="AK34" s="242"/>
      <c r="AL34" s="198"/>
      <c r="AM34" s="242"/>
      <c r="AN34" s="242"/>
      <c r="AO34" s="242"/>
      <c r="AP34" s="242"/>
      <c r="AQ34" s="242"/>
      <c r="AR34" s="243"/>
    </row>
    <row r="35" spans="2:44" x14ac:dyDescent="0.25">
      <c r="B35" s="459"/>
      <c r="C35" s="36"/>
      <c r="D35" s="225"/>
      <c r="E35" s="37"/>
      <c r="F35" s="37"/>
      <c r="G35" s="37"/>
      <c r="H35" s="37"/>
      <c r="I35" s="37"/>
      <c r="J35" s="244"/>
      <c r="K35" s="241"/>
      <c r="L35" s="38"/>
      <c r="M35" s="36"/>
      <c r="N35" s="225"/>
      <c r="O35" s="37"/>
      <c r="P35" s="37"/>
      <c r="Q35" s="286"/>
      <c r="R35" s="286"/>
      <c r="S35" s="345"/>
      <c r="T35" s="345"/>
      <c r="U35" s="345"/>
      <c r="V35" s="357"/>
      <c r="W35" s="357"/>
      <c r="X35" s="397"/>
      <c r="Y35" s="253"/>
      <c r="Z35" s="226"/>
      <c r="AA35" s="124" t="e">
        <f t="shared" si="0"/>
        <v>#DIV/0!</v>
      </c>
      <c r="AB35" s="435"/>
      <c r="AC35" s="436"/>
      <c r="AD35" s="436"/>
      <c r="AE35" s="436"/>
      <c r="AF35" s="437"/>
      <c r="AG35" s="37"/>
      <c r="AH35" s="210"/>
      <c r="AI35" s="209"/>
      <c r="AJ35" s="37"/>
      <c r="AK35" s="37"/>
      <c r="AL35" s="199"/>
      <c r="AM35" s="454"/>
      <c r="AN35" s="454"/>
      <c r="AO35" s="454"/>
      <c r="AP35" s="454"/>
      <c r="AQ35" s="454"/>
      <c r="AR35" s="455"/>
    </row>
    <row r="36" spans="2:44" x14ac:dyDescent="0.25">
      <c r="B36" s="459"/>
      <c r="C36" s="32"/>
      <c r="D36" s="227"/>
      <c r="E36" s="33"/>
      <c r="F36" s="33"/>
      <c r="G36" s="33"/>
      <c r="H36" s="33"/>
      <c r="I36" s="33"/>
      <c r="J36" s="242"/>
      <c r="K36" s="238"/>
      <c r="L36" s="34"/>
      <c r="M36" s="32"/>
      <c r="N36" s="227"/>
      <c r="O36" s="33"/>
      <c r="P36" s="33"/>
      <c r="Q36" s="287"/>
      <c r="R36" s="287"/>
      <c r="S36" s="344"/>
      <c r="T36" s="344"/>
      <c r="U36" s="344"/>
      <c r="V36" s="356"/>
      <c r="W36" s="356"/>
      <c r="X36" s="396"/>
      <c r="Y36" s="33"/>
      <c r="Z36" s="228"/>
      <c r="AA36" s="123" t="e">
        <f t="shared" si="0"/>
        <v>#DIV/0!</v>
      </c>
      <c r="AB36" s="432"/>
      <c r="AC36" s="433"/>
      <c r="AD36" s="433"/>
      <c r="AE36" s="433"/>
      <c r="AF36" s="434"/>
      <c r="AG36" s="33"/>
      <c r="AH36" s="214"/>
      <c r="AI36" s="209"/>
      <c r="AJ36" s="33"/>
      <c r="AK36" s="33"/>
      <c r="AL36" s="198"/>
      <c r="AM36" s="452"/>
      <c r="AN36" s="452"/>
      <c r="AO36" s="452"/>
      <c r="AP36" s="452"/>
      <c r="AQ36" s="452"/>
      <c r="AR36" s="453"/>
    </row>
    <row r="37" spans="2:44" x14ac:dyDescent="0.25">
      <c r="B37" s="459"/>
      <c r="C37" s="36"/>
      <c r="D37" s="311"/>
      <c r="E37" s="37"/>
      <c r="F37" s="37"/>
      <c r="G37" s="37"/>
      <c r="H37" s="37"/>
      <c r="I37" s="37"/>
      <c r="J37" s="244"/>
      <c r="K37" s="241"/>
      <c r="L37" s="38"/>
      <c r="M37" s="36"/>
      <c r="N37" s="225"/>
      <c r="O37" s="37"/>
      <c r="P37" s="37"/>
      <c r="Q37" s="286"/>
      <c r="R37" s="286"/>
      <c r="S37" s="345"/>
      <c r="T37" s="345"/>
      <c r="U37" s="345"/>
      <c r="V37" s="357"/>
      <c r="W37" s="357"/>
      <c r="X37" s="397"/>
      <c r="Y37" s="244"/>
      <c r="Z37" s="226"/>
      <c r="AA37" s="124" t="e">
        <f t="shared" si="0"/>
        <v>#DIV/0!</v>
      </c>
      <c r="AB37" s="435"/>
      <c r="AC37" s="436"/>
      <c r="AD37" s="436"/>
      <c r="AE37" s="436"/>
      <c r="AF37" s="437"/>
      <c r="AG37" s="37"/>
      <c r="AH37" s="210"/>
      <c r="AI37" s="209"/>
      <c r="AJ37" s="37"/>
      <c r="AK37" s="37"/>
      <c r="AL37" s="199"/>
      <c r="AM37" s="454"/>
      <c r="AN37" s="454"/>
      <c r="AO37" s="454"/>
      <c r="AP37" s="454"/>
      <c r="AQ37" s="454"/>
      <c r="AR37" s="455"/>
    </row>
    <row r="38" spans="2:44" x14ac:dyDescent="0.25">
      <c r="B38" s="459"/>
      <c r="C38" s="32"/>
      <c r="D38" s="227"/>
      <c r="E38" s="327"/>
      <c r="F38" s="327"/>
      <c r="G38" s="33"/>
      <c r="H38" s="33"/>
      <c r="I38" s="33"/>
      <c r="J38" s="242"/>
      <c r="K38" s="238"/>
      <c r="L38" s="34"/>
      <c r="M38" s="32"/>
      <c r="N38" s="227"/>
      <c r="O38" s="33"/>
      <c r="P38" s="33"/>
      <c r="Q38" s="287"/>
      <c r="R38" s="287"/>
      <c r="S38" s="344"/>
      <c r="T38" s="344"/>
      <c r="U38" s="344"/>
      <c r="V38" s="356"/>
      <c r="W38" s="356"/>
      <c r="X38" s="396"/>
      <c r="Y38" s="242"/>
      <c r="Z38" s="228"/>
      <c r="AA38" s="123" t="e">
        <f t="shared" si="0"/>
        <v>#DIV/0!</v>
      </c>
      <c r="AB38" s="432"/>
      <c r="AC38" s="433"/>
      <c r="AD38" s="433"/>
      <c r="AE38" s="433"/>
      <c r="AF38" s="434"/>
      <c r="AG38" s="33"/>
      <c r="AH38" s="214"/>
      <c r="AI38" s="209"/>
      <c r="AJ38" s="33"/>
      <c r="AK38" s="33"/>
      <c r="AL38" s="198"/>
      <c r="AM38" s="452"/>
      <c r="AN38" s="452"/>
      <c r="AO38" s="452"/>
      <c r="AP38" s="452"/>
      <c r="AQ38" s="452"/>
      <c r="AR38" s="453"/>
    </row>
    <row r="39" spans="2:44" x14ac:dyDescent="0.25">
      <c r="B39" s="459"/>
      <c r="C39" s="36"/>
      <c r="D39" s="225"/>
      <c r="E39" s="37"/>
      <c r="F39" s="37"/>
      <c r="G39" s="37"/>
      <c r="H39" s="37"/>
      <c r="I39" s="37"/>
      <c r="J39" s="244"/>
      <c r="K39" s="241"/>
      <c r="L39" s="38"/>
      <c r="M39" s="36"/>
      <c r="N39" s="37"/>
      <c r="O39" s="37"/>
      <c r="P39" s="37"/>
      <c r="Q39" s="286"/>
      <c r="R39" s="286"/>
      <c r="S39" s="345"/>
      <c r="T39" s="345"/>
      <c r="U39" s="345"/>
      <c r="V39" s="357"/>
      <c r="W39" s="357"/>
      <c r="X39" s="397"/>
      <c r="Y39" s="244"/>
      <c r="Z39" s="226"/>
      <c r="AA39" s="124" t="e">
        <f t="shared" si="0"/>
        <v>#DIV/0!</v>
      </c>
      <c r="AB39" s="435"/>
      <c r="AC39" s="436"/>
      <c r="AD39" s="436"/>
      <c r="AE39" s="436"/>
      <c r="AF39" s="437"/>
      <c r="AG39" s="37"/>
      <c r="AH39" s="210"/>
      <c r="AI39" s="209"/>
      <c r="AJ39" s="37"/>
      <c r="AK39" s="37"/>
      <c r="AL39" s="199"/>
      <c r="AM39" s="454"/>
      <c r="AN39" s="454"/>
      <c r="AO39" s="454"/>
      <c r="AP39" s="454"/>
      <c r="AQ39" s="454"/>
      <c r="AR39" s="455"/>
    </row>
    <row r="40" spans="2:44" x14ac:dyDescent="0.25">
      <c r="B40" s="459"/>
      <c r="C40" s="32"/>
      <c r="D40" s="242"/>
      <c r="E40" s="242"/>
      <c r="F40" s="33"/>
      <c r="G40" s="33"/>
      <c r="H40" s="33"/>
      <c r="I40" s="33"/>
      <c r="J40" s="242"/>
      <c r="K40" s="238"/>
      <c r="L40" s="34"/>
      <c r="M40" s="32"/>
      <c r="N40" s="33"/>
      <c r="O40" s="33"/>
      <c r="P40" s="33"/>
      <c r="Q40" s="287"/>
      <c r="R40" s="287"/>
      <c r="S40" s="344"/>
      <c r="T40" s="344"/>
      <c r="U40" s="344"/>
      <c r="V40" s="356"/>
      <c r="W40" s="356"/>
      <c r="X40" s="396"/>
      <c r="Y40" s="242"/>
      <c r="Z40" s="228"/>
      <c r="AA40" s="123" t="e">
        <f t="shared" si="0"/>
        <v>#DIV/0!</v>
      </c>
      <c r="AB40" s="432"/>
      <c r="AC40" s="433"/>
      <c r="AD40" s="433"/>
      <c r="AE40" s="433"/>
      <c r="AF40" s="434"/>
      <c r="AG40" s="33"/>
      <c r="AH40" s="214"/>
      <c r="AI40" s="209"/>
      <c r="AJ40" s="33"/>
      <c r="AK40" s="33"/>
      <c r="AL40" s="198"/>
      <c r="AM40" s="452"/>
      <c r="AN40" s="452"/>
      <c r="AO40" s="452"/>
      <c r="AP40" s="452"/>
      <c r="AQ40" s="452"/>
      <c r="AR40" s="453"/>
    </row>
    <row r="41" spans="2:44" x14ac:dyDescent="0.25">
      <c r="B41" s="459"/>
      <c r="C41" s="36"/>
      <c r="D41" s="244"/>
      <c r="E41" s="244"/>
      <c r="F41" s="37"/>
      <c r="G41" s="37"/>
      <c r="H41" s="37"/>
      <c r="I41" s="37"/>
      <c r="J41" s="37"/>
      <c r="K41" s="222"/>
      <c r="L41" s="38"/>
      <c r="M41" s="36"/>
      <c r="N41" s="37"/>
      <c r="O41" s="37"/>
      <c r="P41" s="37"/>
      <c r="Q41" s="286"/>
      <c r="R41" s="286"/>
      <c r="S41" s="345"/>
      <c r="T41" s="345"/>
      <c r="U41" s="345"/>
      <c r="V41" s="357"/>
      <c r="W41" s="357"/>
      <c r="X41" s="397"/>
      <c r="Y41" s="37"/>
      <c r="Z41" s="39"/>
      <c r="AA41" s="124" t="e">
        <f t="shared" si="0"/>
        <v>#DIV/0!</v>
      </c>
      <c r="AB41" s="435"/>
      <c r="AC41" s="436"/>
      <c r="AD41" s="436"/>
      <c r="AE41" s="436"/>
      <c r="AF41" s="437"/>
      <c r="AG41" s="37"/>
      <c r="AH41" s="210"/>
      <c r="AI41" s="209"/>
      <c r="AJ41" s="37"/>
      <c r="AK41" s="37"/>
      <c r="AL41" s="199"/>
      <c r="AM41" s="454"/>
      <c r="AN41" s="454"/>
      <c r="AO41" s="454"/>
      <c r="AP41" s="454"/>
      <c r="AQ41" s="454"/>
      <c r="AR41" s="455"/>
    </row>
    <row r="42" spans="2:44" x14ac:dyDescent="0.25">
      <c r="B42" s="459"/>
      <c r="C42" s="32"/>
      <c r="D42" s="242"/>
      <c r="E42" s="242"/>
      <c r="F42" s="33"/>
      <c r="G42" s="33"/>
      <c r="H42" s="33"/>
      <c r="I42" s="33"/>
      <c r="J42" s="242"/>
      <c r="K42" s="238"/>
      <c r="L42" s="34"/>
      <c r="M42" s="32"/>
      <c r="N42" s="33"/>
      <c r="O42" s="33"/>
      <c r="P42" s="33"/>
      <c r="Q42" s="287"/>
      <c r="R42" s="287"/>
      <c r="S42" s="344"/>
      <c r="T42" s="344"/>
      <c r="U42" s="344"/>
      <c r="V42" s="356"/>
      <c r="W42" s="356"/>
      <c r="X42" s="396"/>
      <c r="Y42" s="33"/>
      <c r="Z42" s="35"/>
      <c r="AA42" s="123" t="e">
        <f t="shared" si="0"/>
        <v>#DIV/0!</v>
      </c>
      <c r="AB42" s="432"/>
      <c r="AC42" s="433"/>
      <c r="AD42" s="433"/>
      <c r="AE42" s="433"/>
      <c r="AF42" s="434"/>
      <c r="AG42" s="33"/>
      <c r="AH42" s="214"/>
      <c r="AI42" s="209"/>
      <c r="AJ42" s="33"/>
      <c r="AK42" s="33"/>
      <c r="AL42" s="198"/>
      <c r="AM42" s="452"/>
      <c r="AN42" s="452"/>
      <c r="AO42" s="452"/>
      <c r="AP42" s="452"/>
      <c r="AQ42" s="452"/>
      <c r="AR42" s="453"/>
    </row>
    <row r="43" spans="2:44" x14ac:dyDescent="0.25">
      <c r="B43" s="459"/>
      <c r="C43" s="36"/>
      <c r="D43" s="37"/>
      <c r="E43" s="37"/>
      <c r="F43" s="37"/>
      <c r="G43" s="37"/>
      <c r="H43" s="37"/>
      <c r="I43" s="37"/>
      <c r="J43" s="37"/>
      <c r="K43" s="222"/>
      <c r="L43" s="38"/>
      <c r="M43" s="36"/>
      <c r="N43" s="37"/>
      <c r="O43" s="37"/>
      <c r="P43" s="37"/>
      <c r="Q43" s="286"/>
      <c r="R43" s="286"/>
      <c r="S43" s="345"/>
      <c r="T43" s="345"/>
      <c r="U43" s="345"/>
      <c r="V43" s="357"/>
      <c r="W43" s="357"/>
      <c r="X43" s="397"/>
      <c r="Y43" s="37"/>
      <c r="Z43" s="39"/>
      <c r="AA43" s="124" t="e">
        <f t="shared" si="0"/>
        <v>#DIV/0!</v>
      </c>
      <c r="AB43" s="435"/>
      <c r="AC43" s="436"/>
      <c r="AD43" s="436"/>
      <c r="AE43" s="436"/>
      <c r="AF43" s="437"/>
      <c r="AG43" s="37"/>
      <c r="AH43" s="210"/>
      <c r="AI43" s="209"/>
      <c r="AJ43" s="37"/>
      <c r="AK43" s="37"/>
      <c r="AL43" s="199"/>
      <c r="AM43" s="454"/>
      <c r="AN43" s="454"/>
      <c r="AO43" s="454"/>
      <c r="AP43" s="454"/>
      <c r="AQ43" s="454"/>
      <c r="AR43" s="455"/>
    </row>
    <row r="44" spans="2:44" x14ac:dyDescent="0.25">
      <c r="B44" s="459"/>
      <c r="C44" s="32"/>
      <c r="D44" s="33"/>
      <c r="E44" s="33"/>
      <c r="F44" s="33"/>
      <c r="G44" s="33"/>
      <c r="H44" s="33"/>
      <c r="I44" s="33"/>
      <c r="J44" s="33"/>
      <c r="K44" s="221"/>
      <c r="L44" s="34"/>
      <c r="M44" s="32"/>
      <c r="N44" s="33"/>
      <c r="O44" s="33"/>
      <c r="P44" s="33"/>
      <c r="Q44" s="287"/>
      <c r="R44" s="287"/>
      <c r="S44" s="344"/>
      <c r="T44" s="344"/>
      <c r="U44" s="344"/>
      <c r="V44" s="356"/>
      <c r="W44" s="356"/>
      <c r="X44" s="396"/>
      <c r="Y44" s="33"/>
      <c r="Z44" s="35"/>
      <c r="AA44" s="123" t="e">
        <f t="shared" si="0"/>
        <v>#DIV/0!</v>
      </c>
      <c r="AB44" s="432"/>
      <c r="AC44" s="433"/>
      <c r="AD44" s="433"/>
      <c r="AE44" s="433"/>
      <c r="AF44" s="434"/>
      <c r="AG44" s="33"/>
      <c r="AH44" s="214"/>
      <c r="AI44" s="209"/>
      <c r="AJ44" s="33"/>
      <c r="AK44" s="33"/>
      <c r="AL44" s="198"/>
      <c r="AM44" s="452"/>
      <c r="AN44" s="452"/>
      <c r="AO44" s="452"/>
      <c r="AP44" s="452"/>
      <c r="AQ44" s="452"/>
      <c r="AR44" s="453"/>
    </row>
    <row r="45" spans="2:44" x14ac:dyDescent="0.25">
      <c r="B45" s="459"/>
      <c r="C45" s="36"/>
      <c r="D45" s="37"/>
      <c r="E45" s="37"/>
      <c r="F45" s="37"/>
      <c r="G45" s="37"/>
      <c r="H45" s="37"/>
      <c r="I45" s="37"/>
      <c r="J45" s="37"/>
      <c r="K45" s="222"/>
      <c r="L45" s="38"/>
      <c r="M45" s="36"/>
      <c r="N45" s="37"/>
      <c r="O45" s="37"/>
      <c r="P45" s="37"/>
      <c r="Q45" s="286"/>
      <c r="R45" s="286"/>
      <c r="S45" s="345"/>
      <c r="T45" s="345"/>
      <c r="U45" s="345"/>
      <c r="V45" s="357"/>
      <c r="W45" s="357"/>
      <c r="X45" s="397"/>
      <c r="Y45" s="37"/>
      <c r="Z45" s="39"/>
      <c r="AA45" s="124" t="e">
        <f t="shared" si="0"/>
        <v>#DIV/0!</v>
      </c>
      <c r="AB45" s="216"/>
      <c r="AC45" s="216"/>
      <c r="AD45" s="216"/>
      <c r="AE45" s="216"/>
      <c r="AF45" s="37"/>
      <c r="AG45" s="37"/>
      <c r="AH45" s="210"/>
      <c r="AI45" s="209"/>
      <c r="AJ45" s="37"/>
      <c r="AK45" s="37"/>
      <c r="AL45" s="199"/>
      <c r="AM45" s="454"/>
      <c r="AN45" s="454"/>
      <c r="AO45" s="454"/>
      <c r="AP45" s="454"/>
      <c r="AQ45" s="454"/>
      <c r="AR45" s="455"/>
    </row>
    <row r="46" spans="2:44" x14ac:dyDescent="0.25">
      <c r="B46" s="459"/>
      <c r="C46" s="32"/>
      <c r="D46" s="33"/>
      <c r="E46" s="33"/>
      <c r="F46" s="33"/>
      <c r="G46" s="33"/>
      <c r="H46" s="33"/>
      <c r="I46" s="33"/>
      <c r="J46" s="33"/>
      <c r="K46" s="221"/>
      <c r="L46" s="34"/>
      <c r="M46" s="32"/>
      <c r="N46" s="33"/>
      <c r="O46" s="33"/>
      <c r="P46" s="33"/>
      <c r="Q46" s="287"/>
      <c r="R46" s="287"/>
      <c r="S46" s="344"/>
      <c r="T46" s="344"/>
      <c r="U46" s="344"/>
      <c r="V46" s="356"/>
      <c r="W46" s="356"/>
      <c r="X46" s="396"/>
      <c r="Y46" s="33"/>
      <c r="Z46" s="35"/>
      <c r="AA46" s="123" t="e">
        <f t="shared" si="0"/>
        <v>#DIV/0!</v>
      </c>
      <c r="AB46" s="215"/>
      <c r="AC46" s="215"/>
      <c r="AD46" s="215"/>
      <c r="AE46" s="215"/>
      <c r="AF46" s="33"/>
      <c r="AG46" s="33"/>
      <c r="AH46" s="214"/>
      <c r="AI46" s="209"/>
      <c r="AJ46" s="33"/>
      <c r="AK46" s="33"/>
      <c r="AL46" s="198"/>
      <c r="AM46" s="452"/>
      <c r="AN46" s="452"/>
      <c r="AO46" s="452"/>
      <c r="AP46" s="452"/>
      <c r="AQ46" s="452"/>
      <c r="AR46" s="453"/>
    </row>
    <row r="47" spans="2:44" x14ac:dyDescent="0.25">
      <c r="B47" s="459"/>
      <c r="C47" s="36"/>
      <c r="D47" s="37"/>
      <c r="E47" s="37"/>
      <c r="F47" s="37"/>
      <c r="G47" s="37"/>
      <c r="H47" s="37"/>
      <c r="I47" s="37"/>
      <c r="J47" s="37"/>
      <c r="K47" s="222"/>
      <c r="L47" s="38"/>
      <c r="M47" s="36"/>
      <c r="N47" s="37"/>
      <c r="O47" s="37"/>
      <c r="P47" s="37"/>
      <c r="Q47" s="286"/>
      <c r="R47" s="286"/>
      <c r="S47" s="345"/>
      <c r="T47" s="345"/>
      <c r="U47" s="345"/>
      <c r="V47" s="357"/>
      <c r="W47" s="357"/>
      <c r="X47" s="397"/>
      <c r="Y47" s="37"/>
      <c r="Z47" s="39"/>
      <c r="AA47" s="124" t="e">
        <f t="shared" si="0"/>
        <v>#DIV/0!</v>
      </c>
      <c r="AB47" s="216"/>
      <c r="AC47" s="216"/>
      <c r="AD47" s="216"/>
      <c r="AE47" s="216"/>
      <c r="AF47" s="37"/>
      <c r="AG47" s="37"/>
      <c r="AH47" s="210"/>
      <c r="AI47" s="209"/>
      <c r="AJ47" s="37"/>
      <c r="AK47" s="37"/>
      <c r="AL47" s="199"/>
      <c r="AM47" s="454"/>
      <c r="AN47" s="454"/>
      <c r="AO47" s="454"/>
      <c r="AP47" s="454"/>
      <c r="AQ47" s="454"/>
      <c r="AR47" s="455"/>
    </row>
    <row r="48" spans="2:44" x14ac:dyDescent="0.25">
      <c r="B48" s="459"/>
      <c r="C48" s="32"/>
      <c r="D48" s="315" t="s">
        <v>165</v>
      </c>
      <c r="E48" s="315"/>
      <c r="F48" s="315"/>
      <c r="G48" s="315"/>
      <c r="H48" s="33"/>
      <c r="I48" s="33"/>
      <c r="J48" s="33"/>
      <c r="K48" s="221"/>
      <c r="L48" s="34"/>
      <c r="M48" s="32"/>
      <c r="N48" s="33"/>
      <c r="O48" s="33"/>
      <c r="P48" s="33"/>
      <c r="Q48" s="287"/>
      <c r="R48" s="287"/>
      <c r="S48" s="344"/>
      <c r="T48" s="344"/>
      <c r="U48" s="344"/>
      <c r="V48" s="356"/>
      <c r="W48" s="356"/>
      <c r="X48" s="396"/>
      <c r="Y48" s="33"/>
      <c r="Z48" s="35"/>
      <c r="AA48" s="123" t="e">
        <f t="shared" si="0"/>
        <v>#DIV/0!</v>
      </c>
      <c r="AB48" s="215"/>
      <c r="AC48" s="215"/>
      <c r="AD48" s="215"/>
      <c r="AE48" s="215"/>
      <c r="AF48" s="33"/>
      <c r="AG48" s="33"/>
      <c r="AH48" s="214"/>
      <c r="AI48" s="209"/>
      <c r="AJ48" s="33"/>
      <c r="AK48" s="33"/>
      <c r="AL48" s="198"/>
      <c r="AM48" s="452"/>
      <c r="AN48" s="452"/>
      <c r="AO48" s="452"/>
      <c r="AP48" s="452"/>
      <c r="AQ48" s="452"/>
      <c r="AR48" s="453"/>
    </row>
    <row r="49" spans="2:44" x14ac:dyDescent="0.25">
      <c r="B49" s="459"/>
      <c r="C49" s="36"/>
      <c r="D49" s="316" t="s">
        <v>169</v>
      </c>
      <c r="E49" s="316"/>
      <c r="F49" s="316"/>
      <c r="G49" s="316"/>
      <c r="H49" s="37"/>
      <c r="I49" s="37"/>
      <c r="J49" s="37"/>
      <c r="K49" s="222"/>
      <c r="L49" s="38"/>
      <c r="M49" s="36"/>
      <c r="N49" s="37"/>
      <c r="O49" s="37"/>
      <c r="P49" s="37"/>
      <c r="Q49" s="286"/>
      <c r="R49" s="286"/>
      <c r="S49" s="345"/>
      <c r="T49" s="345"/>
      <c r="U49" s="345"/>
      <c r="V49" s="357"/>
      <c r="W49" s="357"/>
      <c r="X49" s="397"/>
      <c r="Y49" s="37"/>
      <c r="Z49" s="39"/>
      <c r="AA49" s="124" t="e">
        <f t="shared" si="0"/>
        <v>#DIV/0!</v>
      </c>
      <c r="AB49" s="216"/>
      <c r="AC49" s="216"/>
      <c r="AD49" s="216"/>
      <c r="AE49" s="216"/>
      <c r="AF49" s="37"/>
      <c r="AG49" s="37"/>
      <c r="AH49" s="210"/>
      <c r="AI49" s="209"/>
      <c r="AJ49" s="37"/>
      <c r="AK49" s="37"/>
      <c r="AL49" s="199"/>
      <c r="AM49" s="454"/>
      <c r="AN49" s="454"/>
      <c r="AO49" s="454"/>
      <c r="AP49" s="454"/>
      <c r="AQ49" s="454"/>
      <c r="AR49" s="455"/>
    </row>
    <row r="50" spans="2:44" x14ac:dyDescent="0.25">
      <c r="B50" s="459"/>
      <c r="C50" s="32"/>
      <c r="D50" s="315" t="e">
        <f>INDEX(Módulo!B22:B27,MATCH(Dimensionamento!D49,Módulo!A22:A27,0))</f>
        <v>#N/A</v>
      </c>
      <c r="E50" s="315"/>
      <c r="F50" s="315"/>
      <c r="G50" s="315"/>
      <c r="H50" s="33"/>
      <c r="I50" s="33"/>
      <c r="J50" s="33"/>
      <c r="K50" s="221"/>
      <c r="L50" s="34"/>
      <c r="M50" s="32"/>
      <c r="N50" s="33"/>
      <c r="O50" s="33"/>
      <c r="P50" s="33"/>
      <c r="Q50" s="287"/>
      <c r="R50" s="287"/>
      <c r="S50" s="344"/>
      <c r="T50" s="344"/>
      <c r="U50" s="344"/>
      <c r="V50" s="356"/>
      <c r="W50" s="356"/>
      <c r="X50" s="396"/>
      <c r="Y50" s="33"/>
      <c r="Z50" s="35"/>
      <c r="AA50" s="123" t="e">
        <f t="shared" si="0"/>
        <v>#DIV/0!</v>
      </c>
      <c r="AB50" s="215"/>
      <c r="AC50" s="215"/>
      <c r="AD50" s="215"/>
      <c r="AE50" s="215"/>
      <c r="AF50" s="33"/>
      <c r="AG50" s="33"/>
      <c r="AH50" s="214"/>
      <c r="AI50" s="209"/>
      <c r="AJ50" s="33"/>
      <c r="AK50" s="33"/>
      <c r="AL50" s="198"/>
      <c r="AM50" s="452"/>
      <c r="AN50" s="452"/>
      <c r="AO50" s="452"/>
      <c r="AP50" s="452"/>
      <c r="AQ50" s="452"/>
      <c r="AR50" s="453"/>
    </row>
    <row r="51" spans="2:44" x14ac:dyDescent="0.25">
      <c r="B51" s="459"/>
      <c r="C51" s="36"/>
      <c r="D51" s="316" t="s">
        <v>239</v>
      </c>
      <c r="E51" s="316"/>
      <c r="F51" s="316"/>
      <c r="G51" s="316"/>
      <c r="H51" s="37"/>
      <c r="I51" s="37"/>
      <c r="J51" s="37"/>
      <c r="K51" s="222"/>
      <c r="L51" s="38"/>
      <c r="M51" s="36"/>
      <c r="N51" s="37"/>
      <c r="O51" s="37"/>
      <c r="P51" s="37"/>
      <c r="Q51" s="286"/>
      <c r="R51" s="286"/>
      <c r="S51" s="345"/>
      <c r="T51" s="345"/>
      <c r="U51" s="345"/>
      <c r="V51" s="357"/>
      <c r="W51" s="357"/>
      <c r="X51" s="397"/>
      <c r="Y51" s="37"/>
      <c r="Z51" s="39"/>
      <c r="AA51" s="124" t="e">
        <f t="shared" si="0"/>
        <v>#DIV/0!</v>
      </c>
      <c r="AB51" s="216"/>
      <c r="AC51" s="216"/>
      <c r="AD51" s="216"/>
      <c r="AE51" s="216"/>
      <c r="AF51" s="37"/>
      <c r="AG51" s="37"/>
      <c r="AH51" s="210"/>
      <c r="AI51" s="209"/>
      <c r="AJ51" s="37"/>
      <c r="AK51" s="37"/>
      <c r="AL51" s="199"/>
      <c r="AM51" s="454"/>
      <c r="AN51" s="454"/>
      <c r="AO51" s="454"/>
      <c r="AP51" s="454"/>
      <c r="AQ51" s="454"/>
      <c r="AR51" s="455"/>
    </row>
    <row r="52" spans="2:44" ht="4.5" customHeight="1" x14ac:dyDescent="0.25">
      <c r="B52" s="459"/>
      <c r="C52" s="32"/>
      <c r="D52" s="315"/>
      <c r="E52" s="315"/>
      <c r="F52" s="315"/>
      <c r="G52" s="315"/>
      <c r="H52" s="33"/>
      <c r="I52" s="33"/>
      <c r="J52" s="33"/>
      <c r="K52" s="221"/>
      <c r="L52" s="34"/>
      <c r="M52" s="32"/>
      <c r="N52" s="33"/>
      <c r="O52" s="33"/>
      <c r="P52" s="33"/>
      <c r="Q52" s="287"/>
      <c r="R52" s="287"/>
      <c r="S52" s="344"/>
      <c r="T52" s="344"/>
      <c r="U52" s="344"/>
      <c r="V52" s="356"/>
      <c r="W52" s="356"/>
      <c r="X52" s="396"/>
      <c r="Y52" s="33"/>
      <c r="Z52" s="35"/>
      <c r="AA52" s="123" t="e">
        <f t="shared" si="0"/>
        <v>#DIV/0!</v>
      </c>
      <c r="AB52" s="215"/>
      <c r="AC52" s="215"/>
      <c r="AD52" s="215"/>
      <c r="AE52" s="215"/>
      <c r="AF52" s="33"/>
      <c r="AG52" s="33"/>
      <c r="AH52" s="214"/>
      <c r="AI52" s="209"/>
      <c r="AJ52" s="33"/>
      <c r="AK52" s="33"/>
      <c r="AL52" s="198"/>
      <c r="AM52" s="452"/>
      <c r="AN52" s="452"/>
      <c r="AO52" s="452"/>
      <c r="AP52" s="452"/>
      <c r="AQ52" s="452"/>
      <c r="AR52" s="453"/>
    </row>
    <row r="53" spans="2:44" ht="31.5" customHeight="1" x14ac:dyDescent="0.25">
      <c r="B53" s="459"/>
      <c r="C53" s="36"/>
      <c r="D53" s="316" t="s">
        <v>196</v>
      </c>
      <c r="E53" s="316" t="s">
        <v>197</v>
      </c>
      <c r="F53" s="316" t="s">
        <v>198</v>
      </c>
      <c r="G53" s="312" t="s">
        <v>199</v>
      </c>
      <c r="H53" s="312" t="s">
        <v>284</v>
      </c>
      <c r="I53" s="312" t="s">
        <v>285</v>
      </c>
      <c r="J53" s="312" t="s">
        <v>290</v>
      </c>
      <c r="K53" s="348" t="s">
        <v>293</v>
      </c>
      <c r="L53" s="38"/>
      <c r="M53" s="36"/>
      <c r="N53" s="37"/>
      <c r="O53" s="37"/>
      <c r="P53" s="37"/>
      <c r="Q53" s="286"/>
      <c r="R53" s="286"/>
      <c r="S53" s="345"/>
      <c r="T53" s="345"/>
      <c r="U53" s="345"/>
      <c r="V53" s="357"/>
      <c r="W53" s="357"/>
      <c r="X53" s="397"/>
      <c r="Y53" s="37"/>
      <c r="Z53" s="39"/>
      <c r="AA53" s="124" t="e">
        <f t="shared" si="0"/>
        <v>#DIV/0!</v>
      </c>
      <c r="AB53" s="216"/>
      <c r="AC53" s="216"/>
      <c r="AD53" s="216"/>
      <c r="AE53" s="216"/>
      <c r="AF53" s="37"/>
      <c r="AG53" s="37"/>
      <c r="AH53" s="210"/>
      <c r="AI53" s="209"/>
      <c r="AJ53" s="37"/>
      <c r="AK53" s="37"/>
      <c r="AL53" s="199"/>
      <c r="AM53" s="454"/>
      <c r="AN53" s="454"/>
      <c r="AO53" s="454"/>
      <c r="AP53" s="454"/>
      <c r="AQ53" s="454"/>
      <c r="AR53" s="455"/>
    </row>
    <row r="54" spans="2:44" x14ac:dyDescent="0.25">
      <c r="B54" s="459"/>
      <c r="C54" s="32" t="s">
        <v>286</v>
      </c>
      <c r="D54" s="315" t="s">
        <v>111</v>
      </c>
      <c r="E54" s="256">
        <f>18+H54</f>
        <v>22</v>
      </c>
      <c r="F54" s="328">
        <f>18+H54</f>
        <v>22</v>
      </c>
      <c r="G54" s="315">
        <f>14*0.85+1.85+1.4+2.86</f>
        <v>18.010000000000002</v>
      </c>
      <c r="H54" s="33">
        <v>4</v>
      </c>
      <c r="I54" s="33">
        <f>1.5+4+1+0.8</f>
        <v>7.3</v>
      </c>
      <c r="J54" s="33"/>
      <c r="K54" s="221">
        <f>LARGE(E54:E64,1)</f>
        <v>72.899999999999991</v>
      </c>
      <c r="L54" s="34"/>
      <c r="M54" s="32"/>
      <c r="N54" s="33"/>
      <c r="O54" s="33"/>
      <c r="P54" s="33"/>
      <c r="Q54" s="287"/>
      <c r="R54" s="287"/>
      <c r="S54" s="344"/>
      <c r="T54" s="344"/>
      <c r="U54" s="344"/>
      <c r="V54" s="356"/>
      <c r="W54" s="356"/>
      <c r="X54" s="396"/>
      <c r="Y54" s="33"/>
      <c r="Z54" s="35"/>
      <c r="AA54" s="123" t="e">
        <f t="shared" si="0"/>
        <v>#DIV/0!</v>
      </c>
      <c r="AB54" s="215"/>
      <c r="AC54" s="215"/>
      <c r="AD54" s="215"/>
      <c r="AE54" s="215"/>
      <c r="AF54" s="33"/>
      <c r="AG54" s="33"/>
      <c r="AH54" s="214"/>
      <c r="AI54" s="209"/>
      <c r="AJ54" s="33"/>
      <c r="AK54" s="33"/>
      <c r="AL54" s="198"/>
      <c r="AM54" s="452"/>
      <c r="AN54" s="452"/>
      <c r="AO54" s="452"/>
      <c r="AP54" s="452"/>
      <c r="AQ54" s="452"/>
      <c r="AR54" s="453"/>
    </row>
    <row r="55" spans="2:44" x14ac:dyDescent="0.25">
      <c r="B55" s="459"/>
      <c r="C55" s="36" t="s">
        <v>286</v>
      </c>
      <c r="D55" s="338" t="s">
        <v>112</v>
      </c>
      <c r="E55" s="334">
        <f>18+H54</f>
        <v>22</v>
      </c>
      <c r="F55" s="338">
        <f>18+H54</f>
        <v>22</v>
      </c>
      <c r="G55" s="338">
        <f>34.25+34.25</f>
        <v>68.5</v>
      </c>
      <c r="H55" s="37"/>
      <c r="I55" s="37"/>
      <c r="J55" s="37"/>
      <c r="K55" s="222"/>
      <c r="L55" s="38"/>
      <c r="M55" s="36"/>
      <c r="N55" s="37"/>
      <c r="O55" s="37"/>
      <c r="P55" s="37"/>
      <c r="Q55" s="286"/>
      <c r="R55" s="286"/>
      <c r="S55" s="345"/>
      <c r="T55" s="345"/>
      <c r="U55" s="345"/>
      <c r="V55" s="357"/>
      <c r="W55" s="357"/>
      <c r="X55" s="397"/>
      <c r="Y55" s="37"/>
      <c r="Z55" s="39"/>
      <c r="AA55" s="124" t="e">
        <f t="shared" si="0"/>
        <v>#DIV/0!</v>
      </c>
      <c r="AB55" s="216"/>
      <c r="AC55" s="216"/>
      <c r="AD55" s="216"/>
      <c r="AE55" s="216"/>
      <c r="AF55" s="37"/>
      <c r="AG55" s="37"/>
      <c r="AH55" s="210"/>
      <c r="AI55" s="209"/>
      <c r="AJ55" s="37"/>
      <c r="AK55" s="37"/>
      <c r="AL55" s="199"/>
      <c r="AM55" s="454"/>
      <c r="AN55" s="454"/>
      <c r="AO55" s="454"/>
      <c r="AP55" s="454"/>
      <c r="AQ55" s="454"/>
      <c r="AR55" s="455"/>
    </row>
    <row r="56" spans="2:44" x14ac:dyDescent="0.25">
      <c r="B56" s="459"/>
      <c r="C56" s="32" t="s">
        <v>287</v>
      </c>
      <c r="D56" s="327" t="s">
        <v>126</v>
      </c>
      <c r="E56" s="327">
        <f>52.4+H54+I54</f>
        <v>63.699999999999996</v>
      </c>
      <c r="F56" s="327">
        <f>E56+1</f>
        <v>64.699999999999989</v>
      </c>
      <c r="G56" s="327">
        <f>0.9*2</f>
        <v>1.8</v>
      </c>
      <c r="H56" s="33"/>
      <c r="I56" s="33"/>
      <c r="J56" s="33"/>
      <c r="K56" s="221"/>
      <c r="L56" s="34"/>
      <c r="M56" s="32"/>
      <c r="N56" s="33"/>
      <c r="O56" s="33"/>
      <c r="P56" s="33"/>
      <c r="Q56" s="287"/>
      <c r="R56" s="287"/>
      <c r="S56" s="344"/>
      <c r="T56" s="344"/>
      <c r="U56" s="344"/>
      <c r="V56" s="356"/>
      <c r="W56" s="356"/>
      <c r="X56" s="396"/>
      <c r="Y56" s="33"/>
      <c r="Z56" s="35"/>
      <c r="AA56" s="123" t="e">
        <f t="shared" si="0"/>
        <v>#DIV/0!</v>
      </c>
      <c r="AB56" s="215"/>
      <c r="AC56" s="215"/>
      <c r="AD56" s="215"/>
      <c r="AE56" s="215"/>
      <c r="AF56" s="33"/>
      <c r="AG56" s="33"/>
      <c r="AH56" s="214"/>
      <c r="AI56" s="209"/>
      <c r="AJ56" s="33"/>
      <c r="AK56" s="33"/>
      <c r="AL56" s="198"/>
      <c r="AM56" s="452"/>
      <c r="AN56" s="452"/>
      <c r="AO56" s="452"/>
      <c r="AP56" s="452"/>
      <c r="AQ56" s="452"/>
      <c r="AR56" s="453"/>
    </row>
    <row r="57" spans="2:44" x14ac:dyDescent="0.25">
      <c r="B57" s="459"/>
      <c r="C57" s="36" t="s">
        <v>287</v>
      </c>
      <c r="D57" s="338" t="s">
        <v>278</v>
      </c>
      <c r="E57" s="338">
        <f>F58</f>
        <v>71.2</v>
      </c>
      <c r="F57" s="338">
        <f>F58</f>
        <v>71.2</v>
      </c>
      <c r="G57" s="338">
        <f>12.2+0.6*4+1*2</f>
        <v>16.600000000000001</v>
      </c>
      <c r="H57" s="37"/>
      <c r="I57" s="37"/>
      <c r="J57" s="37"/>
      <c r="K57" s="222"/>
      <c r="L57" s="38"/>
      <c r="M57" s="36"/>
      <c r="N57" s="37"/>
      <c r="O57" s="37"/>
      <c r="P57" s="37"/>
      <c r="Q57" s="286"/>
      <c r="R57" s="286"/>
      <c r="S57" s="345"/>
      <c r="T57" s="345"/>
      <c r="U57" s="345"/>
      <c r="V57" s="357"/>
      <c r="W57" s="357"/>
      <c r="X57" s="397"/>
      <c r="Y57" s="37"/>
      <c r="Z57" s="39"/>
      <c r="AA57" s="124" t="e">
        <f t="shared" si="0"/>
        <v>#DIV/0!</v>
      </c>
      <c r="AB57" s="216"/>
      <c r="AC57" s="216"/>
      <c r="AD57" s="216"/>
      <c r="AE57" s="216"/>
      <c r="AF57" s="37"/>
      <c r="AG57" s="37"/>
      <c r="AH57" s="210"/>
      <c r="AI57" s="209"/>
      <c r="AJ57" s="37"/>
      <c r="AK57" s="37"/>
      <c r="AL57" s="199"/>
      <c r="AM57" s="454"/>
      <c r="AN57" s="454"/>
      <c r="AO57" s="454"/>
      <c r="AP57" s="454"/>
      <c r="AQ57" s="454"/>
      <c r="AR57" s="455"/>
    </row>
    <row r="58" spans="2:44" x14ac:dyDescent="0.25">
      <c r="B58" s="459"/>
      <c r="C58" s="32" t="s">
        <v>287</v>
      </c>
      <c r="D58" s="339" t="s">
        <v>279</v>
      </c>
      <c r="E58" s="327">
        <f>40.8+H54+I54</f>
        <v>52.099999999999994</v>
      </c>
      <c r="F58" s="327">
        <f>19.1+40.8+H54+I54</f>
        <v>71.2</v>
      </c>
      <c r="G58" s="327"/>
      <c r="H58" s="33"/>
      <c r="I58" s="33"/>
      <c r="J58" s="33">
        <f>9.5</f>
        <v>9.5</v>
      </c>
      <c r="K58" s="221"/>
      <c r="L58" s="34"/>
      <c r="M58" s="32"/>
      <c r="N58" s="33"/>
      <c r="O58" s="33"/>
      <c r="P58" s="33"/>
      <c r="Q58" s="287"/>
      <c r="R58" s="287"/>
      <c r="S58" s="344"/>
      <c r="T58" s="344"/>
      <c r="U58" s="344"/>
      <c r="V58" s="356"/>
      <c r="W58" s="356"/>
      <c r="X58" s="396"/>
      <c r="Y58" s="33"/>
      <c r="Z58" s="35"/>
      <c r="AA58" s="123" t="e">
        <f t="shared" si="0"/>
        <v>#DIV/0!</v>
      </c>
      <c r="AB58" s="215"/>
      <c r="AC58" s="215"/>
      <c r="AD58" s="215"/>
      <c r="AE58" s="215"/>
      <c r="AF58" s="33"/>
      <c r="AG58" s="33"/>
      <c r="AH58" s="214"/>
      <c r="AI58" s="209"/>
      <c r="AJ58" s="33"/>
      <c r="AK58" s="33"/>
      <c r="AL58" s="198"/>
      <c r="AM58" s="452"/>
      <c r="AN58" s="452"/>
      <c r="AO58" s="452"/>
      <c r="AP58" s="452"/>
      <c r="AQ58" s="452"/>
      <c r="AR58" s="453"/>
    </row>
    <row r="59" spans="2:44" x14ac:dyDescent="0.25">
      <c r="B59" s="459"/>
      <c r="C59" s="36" t="s">
        <v>286</v>
      </c>
      <c r="D59" s="311" t="s">
        <v>288</v>
      </c>
      <c r="E59" s="338">
        <f>39.4+H54</f>
        <v>43.4</v>
      </c>
      <c r="F59" s="338">
        <f>37+H54</f>
        <v>41</v>
      </c>
      <c r="G59" s="338"/>
      <c r="H59" s="338"/>
      <c r="I59" s="338"/>
      <c r="J59" s="338"/>
      <c r="K59" s="333"/>
      <c r="L59" s="38"/>
      <c r="M59" s="36"/>
      <c r="N59" s="338"/>
      <c r="O59" s="338"/>
      <c r="P59" s="338"/>
      <c r="Q59" s="338"/>
      <c r="R59" s="338"/>
      <c r="S59" s="345"/>
      <c r="T59" s="345"/>
      <c r="U59" s="345"/>
      <c r="V59" s="357"/>
      <c r="W59" s="357"/>
      <c r="X59" s="397"/>
      <c r="Y59" s="336"/>
      <c r="Z59" s="337"/>
      <c r="AA59" s="123"/>
      <c r="AB59" s="335"/>
      <c r="AC59" s="335"/>
      <c r="AD59" s="335"/>
      <c r="AE59" s="335"/>
      <c r="AF59" s="336"/>
      <c r="AG59" s="336"/>
      <c r="AH59" s="214"/>
      <c r="AI59" s="209"/>
      <c r="AJ59" s="336"/>
      <c r="AK59" s="336"/>
      <c r="AL59" s="198"/>
      <c r="AM59" s="336"/>
      <c r="AN59" s="336"/>
      <c r="AO59" s="336"/>
      <c r="AP59" s="336"/>
      <c r="AQ59" s="336"/>
      <c r="AR59" s="337"/>
    </row>
    <row r="60" spans="2:44" x14ac:dyDescent="0.25">
      <c r="B60" s="459"/>
      <c r="C60" s="32" t="s">
        <v>286</v>
      </c>
      <c r="D60" s="339" t="s">
        <v>289</v>
      </c>
      <c r="E60" s="327">
        <f>E59</f>
        <v>43.4</v>
      </c>
      <c r="F60" s="327">
        <f>F59</f>
        <v>41</v>
      </c>
      <c r="G60" s="327"/>
      <c r="H60" s="336"/>
      <c r="I60" s="336"/>
      <c r="J60" s="336"/>
      <c r="K60" s="332"/>
      <c r="L60" s="34"/>
      <c r="M60" s="32"/>
      <c r="N60" s="336"/>
      <c r="O60" s="336"/>
      <c r="P60" s="336"/>
      <c r="Q60" s="336"/>
      <c r="R60" s="336"/>
      <c r="S60" s="344"/>
      <c r="T60" s="344"/>
      <c r="U60" s="344"/>
      <c r="V60" s="356"/>
      <c r="W60" s="356"/>
      <c r="X60" s="396"/>
      <c r="Y60" s="336"/>
      <c r="Z60" s="337"/>
      <c r="AA60" s="123"/>
      <c r="AB60" s="335"/>
      <c r="AC60" s="335"/>
      <c r="AD60" s="335"/>
      <c r="AE60" s="335"/>
      <c r="AF60" s="336"/>
      <c r="AG60" s="336"/>
      <c r="AH60" s="214"/>
      <c r="AI60" s="209"/>
      <c r="AJ60" s="336"/>
      <c r="AK60" s="336"/>
      <c r="AL60" s="198"/>
      <c r="AM60" s="336"/>
      <c r="AN60" s="336"/>
      <c r="AO60" s="336"/>
      <c r="AP60" s="336"/>
      <c r="AQ60" s="336"/>
      <c r="AR60" s="337"/>
    </row>
    <row r="61" spans="2:44" x14ac:dyDescent="0.25">
      <c r="B61" s="459"/>
      <c r="C61" s="36" t="s">
        <v>286</v>
      </c>
      <c r="D61" s="37" t="s">
        <v>280</v>
      </c>
      <c r="E61" s="37">
        <f>21.5+H54</f>
        <v>25.5</v>
      </c>
      <c r="F61" s="37">
        <f>21.2+H54</f>
        <v>25.2</v>
      </c>
      <c r="G61" s="37"/>
      <c r="H61" s="37"/>
      <c r="I61" s="37"/>
      <c r="J61" s="37"/>
      <c r="K61" s="222"/>
      <c r="L61" s="38"/>
      <c r="M61" s="36"/>
      <c r="N61" s="37"/>
      <c r="O61" s="37"/>
      <c r="P61" s="37"/>
      <c r="Q61" s="286"/>
      <c r="R61" s="286"/>
      <c r="S61" s="345"/>
      <c r="T61" s="345"/>
      <c r="U61" s="345"/>
      <c r="V61" s="357"/>
      <c r="W61" s="357"/>
      <c r="X61" s="397"/>
      <c r="Y61" s="37"/>
      <c r="Z61" s="39"/>
      <c r="AA61" s="124" t="e">
        <f t="shared" ref="AA61:AA92" si="1">L61/(Y61*Z61)</f>
        <v>#DIV/0!</v>
      </c>
      <c r="AB61" s="216"/>
      <c r="AC61" s="216"/>
      <c r="AD61" s="216"/>
      <c r="AE61" s="216"/>
      <c r="AF61" s="37"/>
      <c r="AG61" s="37"/>
      <c r="AH61" s="210"/>
      <c r="AI61" s="209"/>
      <c r="AJ61" s="37"/>
      <c r="AK61" s="37"/>
      <c r="AL61" s="199"/>
      <c r="AM61" s="454"/>
      <c r="AN61" s="454"/>
      <c r="AO61" s="454"/>
      <c r="AP61" s="454"/>
      <c r="AQ61" s="454"/>
      <c r="AR61" s="455"/>
    </row>
    <row r="62" spans="2:44" x14ac:dyDescent="0.25">
      <c r="B62" s="459"/>
      <c r="C62" s="32" t="s">
        <v>286</v>
      </c>
      <c r="D62" s="33" t="s">
        <v>281</v>
      </c>
      <c r="E62" s="33">
        <f>21.4+H54</f>
        <v>25.4</v>
      </c>
      <c r="F62" s="33">
        <f>20.4+H54</f>
        <v>24.4</v>
      </c>
      <c r="G62" s="33"/>
      <c r="H62" s="33"/>
      <c r="I62" s="33"/>
      <c r="J62" s="33"/>
      <c r="K62" s="221"/>
      <c r="L62" s="34"/>
      <c r="M62" s="32"/>
      <c r="N62" s="33"/>
      <c r="O62" s="33"/>
      <c r="P62" s="33"/>
      <c r="Q62" s="287"/>
      <c r="R62" s="287"/>
      <c r="S62" s="344"/>
      <c r="T62" s="344"/>
      <c r="U62" s="344"/>
      <c r="V62" s="356"/>
      <c r="W62" s="356"/>
      <c r="X62" s="396"/>
      <c r="Y62" s="33"/>
      <c r="Z62" s="35"/>
      <c r="AA62" s="123" t="e">
        <f t="shared" si="1"/>
        <v>#DIV/0!</v>
      </c>
      <c r="AB62" s="215"/>
      <c r="AC62" s="215"/>
      <c r="AD62" s="215"/>
      <c r="AE62" s="215"/>
      <c r="AF62" s="33"/>
      <c r="AG62" s="33"/>
      <c r="AH62" s="214"/>
      <c r="AI62" s="209"/>
      <c r="AJ62" s="33"/>
      <c r="AK62" s="33"/>
      <c r="AL62" s="198"/>
      <c r="AM62" s="452"/>
      <c r="AN62" s="452"/>
      <c r="AO62" s="452"/>
      <c r="AP62" s="452"/>
      <c r="AQ62" s="452"/>
      <c r="AR62" s="453"/>
    </row>
    <row r="63" spans="2:44" x14ac:dyDescent="0.25">
      <c r="B63" s="459"/>
      <c r="C63" s="36" t="s">
        <v>287</v>
      </c>
      <c r="D63" s="37" t="s">
        <v>282</v>
      </c>
      <c r="E63" s="37">
        <f>55+H54+I54</f>
        <v>66.3</v>
      </c>
      <c r="F63" s="37">
        <f>54+H54+I54</f>
        <v>65.3</v>
      </c>
      <c r="G63" s="37"/>
      <c r="H63" s="37"/>
      <c r="I63" s="37"/>
      <c r="J63" s="37">
        <f>1.2*4</f>
        <v>4.8</v>
      </c>
      <c r="K63" s="222"/>
      <c r="L63" s="38"/>
      <c r="M63" s="36"/>
      <c r="N63" s="37"/>
      <c r="O63" s="37"/>
      <c r="P63" s="37"/>
      <c r="Q63" s="286"/>
      <c r="R63" s="286"/>
      <c r="S63" s="345"/>
      <c r="T63" s="345"/>
      <c r="U63" s="345"/>
      <c r="V63" s="357"/>
      <c r="W63" s="357"/>
      <c r="X63" s="397"/>
      <c r="Y63" s="37"/>
      <c r="Z63" s="39"/>
      <c r="AA63" s="124" t="e">
        <f t="shared" si="1"/>
        <v>#DIV/0!</v>
      </c>
      <c r="AB63" s="216"/>
      <c r="AC63" s="216"/>
      <c r="AD63" s="216"/>
      <c r="AE63" s="216"/>
      <c r="AF63" s="37"/>
      <c r="AG63" s="37"/>
      <c r="AH63" s="210"/>
      <c r="AI63" s="209"/>
      <c r="AJ63" s="37"/>
      <c r="AK63" s="37"/>
      <c r="AL63" s="199"/>
      <c r="AM63" s="454"/>
      <c r="AN63" s="454"/>
      <c r="AO63" s="454"/>
      <c r="AP63" s="454"/>
      <c r="AQ63" s="454"/>
      <c r="AR63" s="455"/>
    </row>
    <row r="64" spans="2:44" x14ac:dyDescent="0.25">
      <c r="B64" s="459"/>
      <c r="C64" s="32" t="s">
        <v>287</v>
      </c>
      <c r="D64" s="33" t="s">
        <v>283</v>
      </c>
      <c r="E64" s="33">
        <f>60.6+1+H54+I54</f>
        <v>72.899999999999991</v>
      </c>
      <c r="F64" s="33">
        <f>60.6+H54+I54</f>
        <v>71.899999999999991</v>
      </c>
      <c r="G64" s="33"/>
      <c r="H64" s="33"/>
      <c r="I64" s="33"/>
      <c r="J64" s="33"/>
      <c r="K64" s="221"/>
      <c r="L64" s="34"/>
      <c r="M64" s="32"/>
      <c r="N64" s="33"/>
      <c r="O64" s="33"/>
      <c r="P64" s="33"/>
      <c r="Q64" s="287"/>
      <c r="R64" s="287"/>
      <c r="S64" s="344"/>
      <c r="T64" s="344"/>
      <c r="U64" s="344"/>
      <c r="V64" s="356"/>
      <c r="W64" s="356"/>
      <c r="X64" s="396"/>
      <c r="Y64" s="33"/>
      <c r="Z64" s="35"/>
      <c r="AA64" s="123" t="e">
        <f t="shared" si="1"/>
        <v>#DIV/0!</v>
      </c>
      <c r="AB64" s="215"/>
      <c r="AC64" s="215"/>
      <c r="AD64" s="215"/>
      <c r="AE64" s="215"/>
      <c r="AF64" s="33"/>
      <c r="AG64" s="33"/>
      <c r="AH64" s="214"/>
      <c r="AI64" s="209"/>
      <c r="AJ64" s="33"/>
      <c r="AK64" s="33"/>
      <c r="AL64" s="198"/>
      <c r="AM64" s="452"/>
      <c r="AN64" s="452"/>
      <c r="AO64" s="452"/>
      <c r="AP64" s="452"/>
      <c r="AQ64" s="452"/>
      <c r="AR64" s="453"/>
    </row>
    <row r="65" spans="2:44" x14ac:dyDescent="0.25">
      <c r="B65" s="459"/>
      <c r="C65" s="36"/>
      <c r="D65" s="37"/>
      <c r="E65" s="37"/>
      <c r="F65" s="37"/>
      <c r="G65" s="37"/>
      <c r="H65" s="37"/>
      <c r="I65" s="37"/>
      <c r="J65" s="37"/>
      <c r="K65" s="222"/>
      <c r="L65" s="38"/>
      <c r="M65" s="36"/>
      <c r="N65" s="37"/>
      <c r="O65" s="37"/>
      <c r="P65" s="37"/>
      <c r="Q65" s="286"/>
      <c r="R65" s="286"/>
      <c r="S65" s="345"/>
      <c r="T65" s="345"/>
      <c r="U65" s="345"/>
      <c r="V65" s="357"/>
      <c r="W65" s="357"/>
      <c r="X65" s="397"/>
      <c r="Y65" s="37"/>
      <c r="Z65" s="39"/>
      <c r="AA65" s="124" t="e">
        <f t="shared" si="1"/>
        <v>#DIV/0!</v>
      </c>
      <c r="AB65" s="216"/>
      <c r="AC65" s="216"/>
      <c r="AD65" s="216"/>
      <c r="AE65" s="216"/>
      <c r="AF65" s="37"/>
      <c r="AG65" s="37"/>
      <c r="AH65" s="210"/>
      <c r="AI65" s="209"/>
      <c r="AJ65" s="37"/>
      <c r="AK65" s="37"/>
      <c r="AL65" s="199"/>
      <c r="AM65" s="454"/>
      <c r="AN65" s="454"/>
      <c r="AO65" s="454"/>
      <c r="AP65" s="454"/>
      <c r="AQ65" s="454"/>
      <c r="AR65" s="455"/>
    </row>
    <row r="66" spans="2:44" x14ac:dyDescent="0.25">
      <c r="B66" s="459"/>
      <c r="C66" s="32"/>
      <c r="D66" s="33" t="s">
        <v>291</v>
      </c>
      <c r="E66" s="33">
        <f>SUM(E54:E64)</f>
        <v>507.89999999999992</v>
      </c>
      <c r="F66" s="33">
        <f>SUM(F54:F64)</f>
        <v>519.9</v>
      </c>
      <c r="G66" s="33">
        <f>SUM(G54:G57)</f>
        <v>104.91</v>
      </c>
      <c r="H66" s="33"/>
      <c r="I66" s="33"/>
      <c r="J66" s="33">
        <f>SUM(J54:J64)</f>
        <v>14.3</v>
      </c>
      <c r="K66" s="221"/>
      <c r="L66" s="34"/>
      <c r="M66" s="32"/>
      <c r="N66" s="33"/>
      <c r="O66" s="33"/>
      <c r="P66" s="33"/>
      <c r="Q66" s="287"/>
      <c r="R66" s="287"/>
      <c r="S66" s="344"/>
      <c r="T66" s="344"/>
      <c r="U66" s="344"/>
      <c r="V66" s="356"/>
      <c r="W66" s="356"/>
      <c r="X66" s="396"/>
      <c r="Y66" s="33"/>
      <c r="Z66" s="35"/>
      <c r="AA66" s="123" t="e">
        <f t="shared" si="1"/>
        <v>#DIV/0!</v>
      </c>
      <c r="AB66" s="215"/>
      <c r="AC66" s="215"/>
      <c r="AD66" s="215"/>
      <c r="AE66" s="215"/>
      <c r="AF66" s="33"/>
      <c r="AG66" s="33"/>
      <c r="AH66" s="214"/>
      <c r="AI66" s="209"/>
      <c r="AJ66" s="33"/>
      <c r="AK66" s="33"/>
      <c r="AL66" s="198"/>
      <c r="AM66" s="452"/>
      <c r="AN66" s="452"/>
      <c r="AO66" s="452"/>
      <c r="AP66" s="452"/>
      <c r="AQ66" s="452"/>
      <c r="AR66" s="453"/>
    </row>
    <row r="67" spans="2:44" x14ac:dyDescent="0.25">
      <c r="B67" s="459"/>
      <c r="C67" s="36"/>
      <c r="D67" s="37" t="s">
        <v>292</v>
      </c>
      <c r="E67" s="37">
        <f>ROUND(E66*1.15,0)</f>
        <v>584</v>
      </c>
      <c r="F67" s="37">
        <f>ROUND(F66*1.15,0)</f>
        <v>598</v>
      </c>
      <c r="G67" s="37">
        <f>ROUND(G66*1.15,0)</f>
        <v>121</v>
      </c>
      <c r="H67" s="37"/>
      <c r="I67" s="37"/>
      <c r="J67" s="37">
        <f>ROUND(J66*1.15,0)</f>
        <v>16</v>
      </c>
      <c r="K67" s="222"/>
      <c r="L67" s="38"/>
      <c r="M67" s="36"/>
      <c r="N67" s="37"/>
      <c r="O67" s="37"/>
      <c r="P67" s="37"/>
      <c r="Q67" s="286"/>
      <c r="R67" s="286"/>
      <c r="S67" s="345"/>
      <c r="T67" s="345"/>
      <c r="U67" s="345"/>
      <c r="V67" s="357"/>
      <c r="W67" s="357"/>
      <c r="X67" s="397"/>
      <c r="Y67" s="37"/>
      <c r="Z67" s="39"/>
      <c r="AA67" s="124" t="e">
        <f t="shared" si="1"/>
        <v>#DIV/0!</v>
      </c>
      <c r="AB67" s="216"/>
      <c r="AC67" s="216"/>
      <c r="AD67" s="216"/>
      <c r="AE67" s="216"/>
      <c r="AF67" s="37"/>
      <c r="AG67" s="37"/>
      <c r="AH67" s="210"/>
      <c r="AI67" s="209"/>
      <c r="AJ67" s="37"/>
      <c r="AK67" s="37"/>
      <c r="AL67" s="199"/>
      <c r="AM67" s="454"/>
      <c r="AN67" s="454"/>
      <c r="AO67" s="454"/>
      <c r="AP67" s="454"/>
      <c r="AQ67" s="454"/>
      <c r="AR67" s="455"/>
    </row>
    <row r="68" spans="2:44" x14ac:dyDescent="0.25">
      <c r="B68" s="459"/>
      <c r="C68" s="32"/>
      <c r="D68" s="33"/>
      <c r="E68" s="33"/>
      <c r="F68" s="33"/>
      <c r="G68" s="33"/>
      <c r="H68" s="33"/>
      <c r="I68" s="33"/>
      <c r="J68" s="33"/>
      <c r="K68" s="221"/>
      <c r="L68" s="34"/>
      <c r="M68" s="32"/>
      <c r="N68" s="33"/>
      <c r="O68" s="33"/>
      <c r="P68" s="33"/>
      <c r="Q68" s="287"/>
      <c r="R68" s="287"/>
      <c r="S68" s="344"/>
      <c r="T68" s="344"/>
      <c r="U68" s="344"/>
      <c r="V68" s="356"/>
      <c r="W68" s="356"/>
      <c r="X68" s="396"/>
      <c r="Y68" s="33"/>
      <c r="Z68" s="35"/>
      <c r="AA68" s="123" t="e">
        <f t="shared" si="1"/>
        <v>#DIV/0!</v>
      </c>
      <c r="AB68" s="215"/>
      <c r="AC68" s="215"/>
      <c r="AD68" s="215"/>
      <c r="AE68" s="215"/>
      <c r="AF68" s="33"/>
      <c r="AG68" s="33"/>
      <c r="AH68" s="214"/>
      <c r="AI68" s="209"/>
      <c r="AJ68" s="33"/>
      <c r="AK68" s="33"/>
      <c r="AL68" s="198"/>
      <c r="AM68" s="452"/>
      <c r="AN68" s="452"/>
      <c r="AO68" s="452"/>
      <c r="AP68" s="452"/>
      <c r="AQ68" s="452"/>
      <c r="AR68" s="453"/>
    </row>
    <row r="69" spans="2:44" x14ac:dyDescent="0.25">
      <c r="B69" s="459"/>
      <c r="C69" s="36"/>
      <c r="D69" s="37">
        <f>E67+F67+J67</f>
        <v>1198</v>
      </c>
      <c r="E69" s="37"/>
      <c r="F69" s="37"/>
      <c r="G69" s="37"/>
      <c r="H69" s="37"/>
      <c r="I69" s="37"/>
      <c r="J69" s="37"/>
      <c r="K69" s="222"/>
      <c r="L69" s="38"/>
      <c r="M69" s="36"/>
      <c r="N69" s="37"/>
      <c r="O69" s="37"/>
      <c r="P69" s="37"/>
      <c r="Q69" s="286"/>
      <c r="R69" s="286"/>
      <c r="S69" s="345"/>
      <c r="T69" s="345"/>
      <c r="U69" s="345"/>
      <c r="V69" s="357"/>
      <c r="W69" s="357"/>
      <c r="X69" s="397"/>
      <c r="Y69" s="37"/>
      <c r="Z69" s="39"/>
      <c r="AA69" s="124" t="e">
        <f t="shared" si="1"/>
        <v>#DIV/0!</v>
      </c>
      <c r="AB69" s="216"/>
      <c r="AC69" s="216"/>
      <c r="AD69" s="216"/>
      <c r="AE69" s="216"/>
      <c r="AF69" s="37"/>
      <c r="AG69" s="37"/>
      <c r="AH69" s="210"/>
      <c r="AI69" s="209"/>
      <c r="AJ69" s="37"/>
      <c r="AK69" s="37"/>
      <c r="AL69" s="199"/>
      <c r="AM69" s="454"/>
      <c r="AN69" s="454"/>
      <c r="AO69" s="454"/>
      <c r="AP69" s="454"/>
      <c r="AQ69" s="454"/>
      <c r="AR69" s="455"/>
    </row>
    <row r="70" spans="2:44" x14ac:dyDescent="0.25">
      <c r="B70" s="459"/>
      <c r="C70" s="32"/>
      <c r="D70" s="33"/>
      <c r="E70" s="33"/>
      <c r="F70" s="33"/>
      <c r="G70" s="33"/>
      <c r="H70" s="33"/>
      <c r="I70" s="33"/>
      <c r="J70" s="33"/>
      <c r="K70" s="221"/>
      <c r="L70" s="34"/>
      <c r="M70" s="32"/>
      <c r="N70" s="33"/>
      <c r="O70" s="33"/>
      <c r="P70" s="33"/>
      <c r="Q70" s="287"/>
      <c r="R70" s="287"/>
      <c r="S70" s="344"/>
      <c r="T70" s="344"/>
      <c r="U70" s="344"/>
      <c r="V70" s="356"/>
      <c r="W70" s="356"/>
      <c r="X70" s="396"/>
      <c r="Y70" s="33"/>
      <c r="Z70" s="35"/>
      <c r="AA70" s="123" t="e">
        <f t="shared" si="1"/>
        <v>#DIV/0!</v>
      </c>
      <c r="AB70" s="215"/>
      <c r="AC70" s="215"/>
      <c r="AD70" s="215"/>
      <c r="AE70" s="215"/>
      <c r="AF70" s="33"/>
      <c r="AG70" s="33"/>
      <c r="AH70" s="214"/>
      <c r="AI70" s="209"/>
      <c r="AJ70" s="33"/>
      <c r="AK70" s="33"/>
      <c r="AL70" s="198"/>
      <c r="AM70" s="452"/>
      <c r="AN70" s="452"/>
      <c r="AO70" s="452"/>
      <c r="AP70" s="452"/>
      <c r="AQ70" s="452"/>
      <c r="AR70" s="453"/>
    </row>
    <row r="71" spans="2:44" x14ac:dyDescent="0.25">
      <c r="B71" s="459"/>
      <c r="C71" s="36"/>
      <c r="D71" s="37"/>
      <c r="E71" s="37"/>
      <c r="F71" s="37"/>
      <c r="G71" s="37"/>
      <c r="H71" s="37"/>
      <c r="I71" s="37"/>
      <c r="J71" s="37"/>
      <c r="K71" s="222"/>
      <c r="L71" s="38"/>
      <c r="M71" s="36"/>
      <c r="N71" s="37"/>
      <c r="O71" s="37"/>
      <c r="P71" s="37"/>
      <c r="Q71" s="286"/>
      <c r="R71" s="286"/>
      <c r="S71" s="345"/>
      <c r="T71" s="345"/>
      <c r="U71" s="345"/>
      <c r="V71" s="357"/>
      <c r="W71" s="357"/>
      <c r="X71" s="397"/>
      <c r="Y71" s="37"/>
      <c r="Z71" s="39"/>
      <c r="AA71" s="124" t="e">
        <f t="shared" si="1"/>
        <v>#DIV/0!</v>
      </c>
      <c r="AB71" s="216"/>
      <c r="AC71" s="216"/>
      <c r="AD71" s="216"/>
      <c r="AE71" s="216"/>
      <c r="AF71" s="37"/>
      <c r="AG71" s="37"/>
      <c r="AH71" s="210"/>
      <c r="AI71" s="209"/>
      <c r="AJ71" s="37"/>
      <c r="AK71" s="37"/>
      <c r="AL71" s="199"/>
      <c r="AM71" s="454"/>
      <c r="AN71" s="454"/>
      <c r="AO71" s="454"/>
      <c r="AP71" s="454"/>
      <c r="AQ71" s="454"/>
      <c r="AR71" s="455"/>
    </row>
    <row r="72" spans="2:44" x14ac:dyDescent="0.25">
      <c r="B72" s="459"/>
      <c r="C72" s="32"/>
      <c r="D72" s="33"/>
      <c r="E72" s="33"/>
      <c r="F72" s="33"/>
      <c r="G72" s="33"/>
      <c r="H72" s="33"/>
      <c r="I72" s="33"/>
      <c r="J72" s="33"/>
      <c r="K72" s="221"/>
      <c r="L72" s="34"/>
      <c r="M72" s="32"/>
      <c r="N72" s="33"/>
      <c r="O72" s="33"/>
      <c r="P72" s="33"/>
      <c r="Q72" s="287"/>
      <c r="R72" s="287"/>
      <c r="S72" s="344"/>
      <c r="T72" s="344"/>
      <c r="U72" s="344"/>
      <c r="V72" s="356"/>
      <c r="W72" s="356"/>
      <c r="X72" s="396"/>
      <c r="Y72" s="33"/>
      <c r="Z72" s="35"/>
      <c r="AA72" s="123" t="e">
        <f t="shared" si="1"/>
        <v>#DIV/0!</v>
      </c>
      <c r="AB72" s="215"/>
      <c r="AC72" s="215"/>
      <c r="AD72" s="215"/>
      <c r="AE72" s="215"/>
      <c r="AF72" s="33"/>
      <c r="AG72" s="33"/>
      <c r="AH72" s="214"/>
      <c r="AI72" s="209"/>
      <c r="AJ72" s="33"/>
      <c r="AK72" s="33"/>
      <c r="AL72" s="198"/>
      <c r="AM72" s="452"/>
      <c r="AN72" s="452"/>
      <c r="AO72" s="452"/>
      <c r="AP72" s="452"/>
      <c r="AQ72" s="452"/>
      <c r="AR72" s="453"/>
    </row>
    <row r="73" spans="2:44" x14ac:dyDescent="0.25">
      <c r="B73" s="459"/>
      <c r="C73" s="36"/>
      <c r="D73" s="37"/>
      <c r="E73" s="37"/>
      <c r="F73" s="37"/>
      <c r="G73" s="37"/>
      <c r="H73" s="37"/>
      <c r="I73" s="37"/>
      <c r="J73" s="37"/>
      <c r="K73" s="222"/>
      <c r="L73" s="38"/>
      <c r="M73" s="36"/>
      <c r="N73" s="37"/>
      <c r="O73" s="37"/>
      <c r="P73" s="37"/>
      <c r="Q73" s="286"/>
      <c r="R73" s="286"/>
      <c r="S73" s="345"/>
      <c r="T73" s="345"/>
      <c r="U73" s="345"/>
      <c r="V73" s="357"/>
      <c r="W73" s="357"/>
      <c r="X73" s="397"/>
      <c r="Y73" s="37"/>
      <c r="Z73" s="39"/>
      <c r="AA73" s="124" t="e">
        <f t="shared" si="1"/>
        <v>#DIV/0!</v>
      </c>
      <c r="AB73" s="216"/>
      <c r="AC73" s="216"/>
      <c r="AD73" s="216"/>
      <c r="AE73" s="216"/>
      <c r="AF73" s="37"/>
      <c r="AG73" s="37"/>
      <c r="AH73" s="210"/>
      <c r="AI73" s="209"/>
      <c r="AJ73" s="37"/>
      <c r="AK73" s="37"/>
      <c r="AL73" s="199"/>
      <c r="AM73" s="454"/>
      <c r="AN73" s="454"/>
      <c r="AO73" s="454"/>
      <c r="AP73" s="454"/>
      <c r="AQ73" s="454"/>
      <c r="AR73" s="455"/>
    </row>
    <row r="74" spans="2:44" x14ac:dyDescent="0.25">
      <c r="B74" s="459"/>
      <c r="C74" s="32"/>
      <c r="D74" s="33"/>
      <c r="E74" s="33"/>
      <c r="F74" s="33"/>
      <c r="G74" s="33"/>
      <c r="H74" s="33"/>
      <c r="I74" s="33"/>
      <c r="J74" s="33"/>
      <c r="K74" s="221"/>
      <c r="L74" s="34"/>
      <c r="M74" s="32"/>
      <c r="N74" s="33"/>
      <c r="O74" s="33"/>
      <c r="P74" s="33"/>
      <c r="Q74" s="287"/>
      <c r="R74" s="287"/>
      <c r="S74" s="344"/>
      <c r="T74" s="344"/>
      <c r="U74" s="344"/>
      <c r="V74" s="356"/>
      <c r="W74" s="356"/>
      <c r="X74" s="396"/>
      <c r="Y74" s="33"/>
      <c r="Z74" s="35"/>
      <c r="AA74" s="123" t="e">
        <f t="shared" si="1"/>
        <v>#DIV/0!</v>
      </c>
      <c r="AB74" s="215"/>
      <c r="AC74" s="215"/>
      <c r="AD74" s="215"/>
      <c r="AE74" s="215"/>
      <c r="AF74" s="33"/>
      <c r="AG74" s="33"/>
      <c r="AH74" s="214"/>
      <c r="AI74" s="209"/>
      <c r="AJ74" s="33"/>
      <c r="AK74" s="33"/>
      <c r="AL74" s="198"/>
      <c r="AM74" s="452"/>
      <c r="AN74" s="452"/>
      <c r="AO74" s="452"/>
      <c r="AP74" s="452"/>
      <c r="AQ74" s="452"/>
      <c r="AR74" s="453"/>
    </row>
    <row r="75" spans="2:44" x14ac:dyDescent="0.25">
      <c r="B75" s="459"/>
      <c r="C75" s="36"/>
      <c r="D75" s="37"/>
      <c r="E75" s="37"/>
      <c r="F75" s="37"/>
      <c r="G75" s="37"/>
      <c r="H75" s="37"/>
      <c r="I75" s="37"/>
      <c r="J75" s="37"/>
      <c r="K75" s="222"/>
      <c r="L75" s="38"/>
      <c r="M75" s="36"/>
      <c r="N75" s="37"/>
      <c r="O75" s="37"/>
      <c r="P75" s="37"/>
      <c r="Q75" s="286"/>
      <c r="R75" s="286"/>
      <c r="S75" s="345"/>
      <c r="T75" s="345"/>
      <c r="U75" s="345"/>
      <c r="V75" s="357"/>
      <c r="W75" s="357"/>
      <c r="X75" s="397"/>
      <c r="Y75" s="37"/>
      <c r="Z75" s="39"/>
      <c r="AA75" s="124" t="e">
        <f t="shared" si="1"/>
        <v>#DIV/0!</v>
      </c>
      <c r="AB75" s="216"/>
      <c r="AC75" s="216"/>
      <c r="AD75" s="216"/>
      <c r="AE75" s="216"/>
      <c r="AF75" s="37"/>
      <c r="AG75" s="37"/>
      <c r="AH75" s="210"/>
      <c r="AI75" s="209"/>
      <c r="AJ75" s="37"/>
      <c r="AK75" s="37"/>
      <c r="AL75" s="199"/>
      <c r="AM75" s="454"/>
      <c r="AN75" s="454"/>
      <c r="AO75" s="454"/>
      <c r="AP75" s="454"/>
      <c r="AQ75" s="454"/>
      <c r="AR75" s="455"/>
    </row>
    <row r="76" spans="2:44" x14ac:dyDescent="0.25">
      <c r="B76" s="459"/>
      <c r="C76" s="32"/>
      <c r="D76" s="33"/>
      <c r="E76" s="33"/>
      <c r="F76" s="33"/>
      <c r="G76" s="33"/>
      <c r="H76" s="33"/>
      <c r="I76" s="33"/>
      <c r="J76" s="33"/>
      <c r="K76" s="221"/>
      <c r="L76" s="34"/>
      <c r="M76" s="32"/>
      <c r="N76" s="33"/>
      <c r="O76" s="33"/>
      <c r="P76" s="33"/>
      <c r="Q76" s="287"/>
      <c r="R76" s="287"/>
      <c r="S76" s="344"/>
      <c r="T76" s="344"/>
      <c r="U76" s="344"/>
      <c r="V76" s="356"/>
      <c r="W76" s="356"/>
      <c r="X76" s="396"/>
      <c r="Y76" s="33"/>
      <c r="Z76" s="35"/>
      <c r="AA76" s="123" t="e">
        <f t="shared" si="1"/>
        <v>#DIV/0!</v>
      </c>
      <c r="AB76" s="215"/>
      <c r="AC76" s="215"/>
      <c r="AD76" s="215"/>
      <c r="AE76" s="215"/>
      <c r="AF76" s="33"/>
      <c r="AG76" s="33"/>
      <c r="AH76" s="214"/>
      <c r="AI76" s="209"/>
      <c r="AJ76" s="33"/>
      <c r="AK76" s="33"/>
      <c r="AL76" s="198"/>
      <c r="AM76" s="452"/>
      <c r="AN76" s="452"/>
      <c r="AO76" s="452"/>
      <c r="AP76" s="452"/>
      <c r="AQ76" s="452"/>
      <c r="AR76" s="453"/>
    </row>
    <row r="77" spans="2:44" x14ac:dyDescent="0.25">
      <c r="B77" s="459"/>
      <c r="C77" s="36"/>
      <c r="D77" s="37"/>
      <c r="E77" s="37"/>
      <c r="F77" s="37"/>
      <c r="G77" s="37"/>
      <c r="H77" s="37"/>
      <c r="I77" s="37"/>
      <c r="J77" s="37"/>
      <c r="K77" s="222"/>
      <c r="L77" s="38"/>
      <c r="M77" s="36"/>
      <c r="N77" s="37"/>
      <c r="O77" s="37"/>
      <c r="P77" s="37"/>
      <c r="Q77" s="286"/>
      <c r="R77" s="286"/>
      <c r="S77" s="345"/>
      <c r="T77" s="345"/>
      <c r="U77" s="345"/>
      <c r="V77" s="357"/>
      <c r="W77" s="357"/>
      <c r="X77" s="397"/>
      <c r="Y77" s="37"/>
      <c r="Z77" s="39"/>
      <c r="AA77" s="124" t="e">
        <f t="shared" si="1"/>
        <v>#DIV/0!</v>
      </c>
      <c r="AB77" s="216"/>
      <c r="AC77" s="216"/>
      <c r="AD77" s="216"/>
      <c r="AE77" s="216"/>
      <c r="AF77" s="37"/>
      <c r="AG77" s="37"/>
      <c r="AH77" s="210"/>
      <c r="AI77" s="209"/>
      <c r="AJ77" s="37"/>
      <c r="AK77" s="37"/>
      <c r="AL77" s="199"/>
      <c r="AM77" s="454"/>
      <c r="AN77" s="454"/>
      <c r="AO77" s="454"/>
      <c r="AP77" s="454"/>
      <c r="AQ77" s="454"/>
      <c r="AR77" s="455"/>
    </row>
    <row r="78" spans="2:44" x14ac:dyDescent="0.25">
      <c r="B78" s="459"/>
      <c r="C78" s="32"/>
      <c r="D78" s="33"/>
      <c r="E78" s="33"/>
      <c r="F78" s="33"/>
      <c r="G78" s="33"/>
      <c r="H78" s="33"/>
      <c r="I78" s="33"/>
      <c r="J78" s="33"/>
      <c r="K78" s="221"/>
      <c r="L78" s="34"/>
      <c r="M78" s="32"/>
      <c r="N78" s="33"/>
      <c r="O78" s="33"/>
      <c r="P78" s="33"/>
      <c r="Q78" s="287"/>
      <c r="R78" s="287"/>
      <c r="S78" s="344"/>
      <c r="T78" s="344"/>
      <c r="U78" s="344"/>
      <c r="V78" s="356"/>
      <c r="W78" s="356"/>
      <c r="X78" s="396"/>
      <c r="Y78" s="33"/>
      <c r="Z78" s="35"/>
      <c r="AA78" s="123" t="e">
        <f t="shared" si="1"/>
        <v>#DIV/0!</v>
      </c>
      <c r="AB78" s="215"/>
      <c r="AC78" s="215"/>
      <c r="AD78" s="215"/>
      <c r="AE78" s="215"/>
      <c r="AF78" s="33"/>
      <c r="AG78" s="33"/>
      <c r="AH78" s="214"/>
      <c r="AI78" s="209"/>
      <c r="AJ78" s="33"/>
      <c r="AK78" s="33"/>
      <c r="AL78" s="198"/>
      <c r="AM78" s="452"/>
      <c r="AN78" s="452"/>
      <c r="AO78" s="452"/>
      <c r="AP78" s="452"/>
      <c r="AQ78" s="452"/>
      <c r="AR78" s="453"/>
    </row>
    <row r="79" spans="2:44" x14ac:dyDescent="0.25">
      <c r="B79" s="459"/>
      <c r="C79" s="36"/>
      <c r="D79" s="37"/>
      <c r="E79" s="37"/>
      <c r="F79" s="37"/>
      <c r="G79" s="37"/>
      <c r="H79" s="37"/>
      <c r="I79" s="37"/>
      <c r="J79" s="37"/>
      <c r="K79" s="222"/>
      <c r="L79" s="38"/>
      <c r="M79" s="36"/>
      <c r="N79" s="37"/>
      <c r="O79" s="37"/>
      <c r="P79" s="37"/>
      <c r="Q79" s="286"/>
      <c r="R79" s="286"/>
      <c r="S79" s="345"/>
      <c r="T79" s="345"/>
      <c r="U79" s="345"/>
      <c r="V79" s="357"/>
      <c r="W79" s="357"/>
      <c r="X79" s="397"/>
      <c r="Y79" s="37"/>
      <c r="Z79" s="39"/>
      <c r="AA79" s="124" t="e">
        <f t="shared" si="1"/>
        <v>#DIV/0!</v>
      </c>
      <c r="AB79" s="216"/>
      <c r="AC79" s="216"/>
      <c r="AD79" s="216"/>
      <c r="AE79" s="216"/>
      <c r="AF79" s="37"/>
      <c r="AG79" s="37"/>
      <c r="AH79" s="210"/>
      <c r="AI79" s="209"/>
      <c r="AJ79" s="37"/>
      <c r="AK79" s="37"/>
      <c r="AL79" s="199"/>
      <c r="AM79" s="454"/>
      <c r="AN79" s="454"/>
      <c r="AO79" s="454"/>
      <c r="AP79" s="454"/>
      <c r="AQ79" s="454"/>
      <c r="AR79" s="455"/>
    </row>
    <row r="80" spans="2:44" x14ac:dyDescent="0.25">
      <c r="B80" s="459"/>
      <c r="C80" s="32"/>
      <c r="D80" s="33"/>
      <c r="E80" s="33"/>
      <c r="F80" s="33"/>
      <c r="G80" s="33"/>
      <c r="H80" s="33"/>
      <c r="I80" s="33"/>
      <c r="J80" s="33"/>
      <c r="K80" s="221"/>
      <c r="L80" s="34"/>
      <c r="M80" s="32"/>
      <c r="N80" s="33"/>
      <c r="O80" s="33"/>
      <c r="P80" s="33"/>
      <c r="Q80" s="287"/>
      <c r="R80" s="287"/>
      <c r="S80" s="344"/>
      <c r="T80" s="344"/>
      <c r="U80" s="344"/>
      <c r="V80" s="356"/>
      <c r="W80" s="356"/>
      <c r="X80" s="396"/>
      <c r="Y80" s="33"/>
      <c r="Z80" s="35"/>
      <c r="AA80" s="123" t="e">
        <f t="shared" si="1"/>
        <v>#DIV/0!</v>
      </c>
      <c r="AB80" s="215"/>
      <c r="AC80" s="215"/>
      <c r="AD80" s="215"/>
      <c r="AE80" s="215"/>
      <c r="AF80" s="33"/>
      <c r="AG80" s="33"/>
      <c r="AH80" s="214"/>
      <c r="AI80" s="209"/>
      <c r="AJ80" s="33"/>
      <c r="AK80" s="33"/>
      <c r="AL80" s="198"/>
      <c r="AM80" s="452"/>
      <c r="AN80" s="452"/>
      <c r="AO80" s="452"/>
      <c r="AP80" s="452"/>
      <c r="AQ80" s="452"/>
      <c r="AR80" s="453"/>
    </row>
    <row r="81" spans="2:44" x14ac:dyDescent="0.25">
      <c r="B81" s="459"/>
      <c r="C81" s="36"/>
      <c r="D81" s="37"/>
      <c r="E81" s="37"/>
      <c r="F81" s="37"/>
      <c r="G81" s="37"/>
      <c r="H81" s="37"/>
      <c r="I81" s="37"/>
      <c r="J81" s="37"/>
      <c r="K81" s="222"/>
      <c r="L81" s="38"/>
      <c r="M81" s="36"/>
      <c r="N81" s="37"/>
      <c r="O81" s="37"/>
      <c r="P81" s="37"/>
      <c r="Q81" s="286"/>
      <c r="R81" s="286"/>
      <c r="S81" s="345"/>
      <c r="T81" s="345"/>
      <c r="U81" s="345"/>
      <c r="V81" s="357"/>
      <c r="W81" s="357"/>
      <c r="X81" s="397"/>
      <c r="Y81" s="37"/>
      <c r="Z81" s="39"/>
      <c r="AA81" s="124" t="e">
        <f t="shared" si="1"/>
        <v>#DIV/0!</v>
      </c>
      <c r="AB81" s="216"/>
      <c r="AC81" s="216"/>
      <c r="AD81" s="216"/>
      <c r="AE81" s="216"/>
      <c r="AF81" s="37"/>
      <c r="AG81" s="37"/>
      <c r="AH81" s="210"/>
      <c r="AI81" s="209"/>
      <c r="AJ81" s="37"/>
      <c r="AK81" s="37"/>
      <c r="AL81" s="199"/>
      <c r="AM81" s="454"/>
      <c r="AN81" s="454"/>
      <c r="AO81" s="454"/>
      <c r="AP81" s="454"/>
      <c r="AQ81" s="454"/>
      <c r="AR81" s="455"/>
    </row>
    <row r="82" spans="2:44" x14ac:dyDescent="0.25">
      <c r="B82" s="459"/>
      <c r="C82" s="32"/>
      <c r="D82" s="33"/>
      <c r="E82" s="33"/>
      <c r="F82" s="33"/>
      <c r="G82" s="33"/>
      <c r="H82" s="33"/>
      <c r="I82" s="33"/>
      <c r="J82" s="33"/>
      <c r="K82" s="221"/>
      <c r="L82" s="34"/>
      <c r="M82" s="32"/>
      <c r="N82" s="33"/>
      <c r="O82" s="33"/>
      <c r="P82" s="33"/>
      <c r="Q82" s="287"/>
      <c r="R82" s="287"/>
      <c r="S82" s="344"/>
      <c r="T82" s="344"/>
      <c r="U82" s="344"/>
      <c r="V82" s="356"/>
      <c r="W82" s="356"/>
      <c r="X82" s="396"/>
      <c r="Y82" s="33"/>
      <c r="Z82" s="35"/>
      <c r="AA82" s="123" t="e">
        <f t="shared" si="1"/>
        <v>#DIV/0!</v>
      </c>
      <c r="AB82" s="215"/>
      <c r="AC82" s="215"/>
      <c r="AD82" s="215"/>
      <c r="AE82" s="215"/>
      <c r="AF82" s="33"/>
      <c r="AG82" s="33"/>
      <c r="AH82" s="214"/>
      <c r="AI82" s="209"/>
      <c r="AJ82" s="33"/>
      <c r="AK82" s="33"/>
      <c r="AL82" s="198"/>
      <c r="AM82" s="452"/>
      <c r="AN82" s="452"/>
      <c r="AO82" s="452"/>
      <c r="AP82" s="452"/>
      <c r="AQ82" s="452"/>
      <c r="AR82" s="453"/>
    </row>
    <row r="83" spans="2:44" x14ac:dyDescent="0.25">
      <c r="B83" s="459"/>
      <c r="C83" s="36"/>
      <c r="D83" s="37"/>
      <c r="E83" s="37"/>
      <c r="F83" s="37"/>
      <c r="G83" s="37"/>
      <c r="H83" s="37"/>
      <c r="I83" s="37"/>
      <c r="J83" s="37"/>
      <c r="K83" s="222"/>
      <c r="L83" s="38"/>
      <c r="M83" s="36"/>
      <c r="N83" s="37"/>
      <c r="O83" s="37"/>
      <c r="P83" s="37"/>
      <c r="Q83" s="286"/>
      <c r="R83" s="286"/>
      <c r="S83" s="345"/>
      <c r="T83" s="345"/>
      <c r="U83" s="345"/>
      <c r="V83" s="357"/>
      <c r="W83" s="357"/>
      <c r="X83" s="397"/>
      <c r="Y83" s="37"/>
      <c r="Z83" s="39"/>
      <c r="AA83" s="124" t="e">
        <f t="shared" si="1"/>
        <v>#DIV/0!</v>
      </c>
      <c r="AB83" s="216"/>
      <c r="AC83" s="216"/>
      <c r="AD83" s="216"/>
      <c r="AE83" s="216"/>
      <c r="AF83" s="37"/>
      <c r="AG83" s="37"/>
      <c r="AH83" s="210"/>
      <c r="AI83" s="209"/>
      <c r="AJ83" s="37"/>
      <c r="AK83" s="37"/>
      <c r="AL83" s="199"/>
      <c r="AM83" s="454"/>
      <c r="AN83" s="454"/>
      <c r="AO83" s="454"/>
      <c r="AP83" s="454"/>
      <c r="AQ83" s="454"/>
      <c r="AR83" s="455"/>
    </row>
    <row r="84" spans="2:44" x14ac:dyDescent="0.25">
      <c r="B84" s="459"/>
      <c r="C84" s="32"/>
      <c r="D84" s="33"/>
      <c r="E84" s="33"/>
      <c r="F84" s="33"/>
      <c r="G84" s="33"/>
      <c r="H84" s="33"/>
      <c r="I84" s="33"/>
      <c r="J84" s="33"/>
      <c r="K84" s="221"/>
      <c r="L84" s="34"/>
      <c r="M84" s="32"/>
      <c r="N84" s="33"/>
      <c r="O84" s="33"/>
      <c r="P84" s="33"/>
      <c r="Q84" s="287"/>
      <c r="R84" s="287"/>
      <c r="S84" s="344"/>
      <c r="T84" s="344"/>
      <c r="U84" s="344"/>
      <c r="V84" s="356"/>
      <c r="W84" s="356"/>
      <c r="X84" s="396"/>
      <c r="Y84" s="33"/>
      <c r="Z84" s="35"/>
      <c r="AA84" s="123" t="e">
        <f t="shared" si="1"/>
        <v>#DIV/0!</v>
      </c>
      <c r="AB84" s="215"/>
      <c r="AC84" s="215"/>
      <c r="AD84" s="215"/>
      <c r="AE84" s="215"/>
      <c r="AF84" s="33"/>
      <c r="AG84" s="33"/>
      <c r="AH84" s="214"/>
      <c r="AI84" s="209"/>
      <c r="AJ84" s="33"/>
      <c r="AK84" s="33"/>
      <c r="AL84" s="198"/>
      <c r="AM84" s="452"/>
      <c r="AN84" s="452"/>
      <c r="AO84" s="452"/>
      <c r="AP84" s="452"/>
      <c r="AQ84" s="452"/>
      <c r="AR84" s="453"/>
    </row>
    <row r="85" spans="2:44" x14ac:dyDescent="0.25">
      <c r="B85" s="459"/>
      <c r="C85" s="36"/>
      <c r="D85" s="37"/>
      <c r="E85" s="37"/>
      <c r="F85" s="37"/>
      <c r="G85" s="37"/>
      <c r="H85" s="37"/>
      <c r="I85" s="37"/>
      <c r="J85" s="37"/>
      <c r="K85" s="222"/>
      <c r="L85" s="38"/>
      <c r="M85" s="36"/>
      <c r="N85" s="37"/>
      <c r="O85" s="37"/>
      <c r="P85" s="37"/>
      <c r="Q85" s="286"/>
      <c r="R85" s="286"/>
      <c r="S85" s="345"/>
      <c r="T85" s="345"/>
      <c r="U85" s="345"/>
      <c r="V85" s="357"/>
      <c r="W85" s="357"/>
      <c r="X85" s="397"/>
      <c r="Y85" s="37"/>
      <c r="Z85" s="39"/>
      <c r="AA85" s="124" t="e">
        <f t="shared" si="1"/>
        <v>#DIV/0!</v>
      </c>
      <c r="AB85" s="216"/>
      <c r="AC85" s="216"/>
      <c r="AD85" s="216"/>
      <c r="AE85" s="216"/>
      <c r="AF85" s="37"/>
      <c r="AG85" s="37"/>
      <c r="AH85" s="210"/>
      <c r="AI85" s="209"/>
      <c r="AJ85" s="37"/>
      <c r="AK85" s="37"/>
      <c r="AL85" s="199"/>
      <c r="AM85" s="454"/>
      <c r="AN85" s="454"/>
      <c r="AO85" s="454"/>
      <c r="AP85" s="454"/>
      <c r="AQ85" s="454"/>
      <c r="AR85" s="455"/>
    </row>
    <row r="86" spans="2:44" x14ac:dyDescent="0.25">
      <c r="B86" s="459"/>
      <c r="C86" s="32"/>
      <c r="D86" s="33"/>
      <c r="E86" s="33"/>
      <c r="F86" s="33"/>
      <c r="G86" s="33"/>
      <c r="H86" s="33"/>
      <c r="I86" s="33"/>
      <c r="J86" s="33"/>
      <c r="K86" s="221"/>
      <c r="L86" s="34"/>
      <c r="M86" s="32"/>
      <c r="N86" s="33"/>
      <c r="O86" s="33"/>
      <c r="P86" s="33"/>
      <c r="Q86" s="287"/>
      <c r="R86" s="287"/>
      <c r="S86" s="344"/>
      <c r="T86" s="344"/>
      <c r="U86" s="344"/>
      <c r="V86" s="356"/>
      <c r="W86" s="356"/>
      <c r="X86" s="396"/>
      <c r="Y86" s="33"/>
      <c r="Z86" s="35"/>
      <c r="AA86" s="123" t="e">
        <f t="shared" si="1"/>
        <v>#DIV/0!</v>
      </c>
      <c r="AB86" s="215"/>
      <c r="AC86" s="215"/>
      <c r="AD86" s="215"/>
      <c r="AE86" s="215"/>
      <c r="AF86" s="33"/>
      <c r="AG86" s="33"/>
      <c r="AH86" s="214"/>
      <c r="AI86" s="209"/>
      <c r="AJ86" s="33"/>
      <c r="AK86" s="33"/>
      <c r="AL86" s="198"/>
      <c r="AM86" s="452"/>
      <c r="AN86" s="452"/>
      <c r="AO86" s="452"/>
      <c r="AP86" s="452"/>
      <c r="AQ86" s="452"/>
      <c r="AR86" s="453"/>
    </row>
    <row r="87" spans="2:44" x14ac:dyDescent="0.25">
      <c r="B87" s="459"/>
      <c r="C87" s="36"/>
      <c r="D87" s="37"/>
      <c r="E87" s="37"/>
      <c r="F87" s="37"/>
      <c r="G87" s="37"/>
      <c r="H87" s="37"/>
      <c r="I87" s="37"/>
      <c r="J87" s="37"/>
      <c r="K87" s="222"/>
      <c r="L87" s="38"/>
      <c r="M87" s="36"/>
      <c r="N87" s="37"/>
      <c r="O87" s="37"/>
      <c r="P87" s="37"/>
      <c r="Q87" s="286"/>
      <c r="R87" s="286"/>
      <c r="S87" s="345"/>
      <c r="T87" s="345"/>
      <c r="U87" s="345"/>
      <c r="V87" s="357"/>
      <c r="W87" s="357"/>
      <c r="X87" s="397"/>
      <c r="Y87" s="37"/>
      <c r="Z87" s="39"/>
      <c r="AA87" s="124" t="e">
        <f t="shared" si="1"/>
        <v>#DIV/0!</v>
      </c>
      <c r="AB87" s="216"/>
      <c r="AC87" s="216"/>
      <c r="AD87" s="216"/>
      <c r="AE87" s="216"/>
      <c r="AF87" s="37"/>
      <c r="AG87" s="37"/>
      <c r="AH87" s="210"/>
      <c r="AI87" s="209"/>
      <c r="AJ87" s="37"/>
      <c r="AK87" s="37"/>
      <c r="AL87" s="199"/>
      <c r="AM87" s="454"/>
      <c r="AN87" s="454"/>
      <c r="AO87" s="454"/>
      <c r="AP87" s="454"/>
      <c r="AQ87" s="454"/>
      <c r="AR87" s="455"/>
    </row>
    <row r="88" spans="2:44" x14ac:dyDescent="0.25">
      <c r="B88" s="459"/>
      <c r="C88" s="32"/>
      <c r="D88" s="33"/>
      <c r="E88" s="33"/>
      <c r="F88" s="33"/>
      <c r="G88" s="33"/>
      <c r="H88" s="33"/>
      <c r="I88" s="33"/>
      <c r="J88" s="33"/>
      <c r="K88" s="221"/>
      <c r="L88" s="34"/>
      <c r="M88" s="32"/>
      <c r="N88" s="33"/>
      <c r="O88" s="33"/>
      <c r="P88" s="33"/>
      <c r="Q88" s="287"/>
      <c r="R88" s="287"/>
      <c r="S88" s="344"/>
      <c r="T88" s="344"/>
      <c r="U88" s="344"/>
      <c r="V88" s="356"/>
      <c r="W88" s="356"/>
      <c r="X88" s="396"/>
      <c r="Y88" s="33"/>
      <c r="Z88" s="35"/>
      <c r="AA88" s="123" t="e">
        <f t="shared" si="1"/>
        <v>#DIV/0!</v>
      </c>
      <c r="AB88" s="215"/>
      <c r="AC88" s="215"/>
      <c r="AD88" s="215"/>
      <c r="AE88" s="215"/>
      <c r="AF88" s="33"/>
      <c r="AG88" s="33"/>
      <c r="AH88" s="214"/>
      <c r="AI88" s="209"/>
      <c r="AJ88" s="33"/>
      <c r="AK88" s="33"/>
      <c r="AL88" s="198"/>
      <c r="AM88" s="452"/>
      <c r="AN88" s="452"/>
      <c r="AO88" s="452"/>
      <c r="AP88" s="452"/>
      <c r="AQ88" s="452"/>
      <c r="AR88" s="453"/>
    </row>
    <row r="89" spans="2:44" x14ac:dyDescent="0.25">
      <c r="B89" s="459"/>
      <c r="C89" s="36"/>
      <c r="D89" s="37"/>
      <c r="E89" s="37"/>
      <c r="F89" s="37"/>
      <c r="G89" s="37"/>
      <c r="H89" s="37"/>
      <c r="I89" s="37"/>
      <c r="J89" s="37"/>
      <c r="K89" s="222"/>
      <c r="L89" s="38"/>
      <c r="M89" s="36"/>
      <c r="N89" s="37"/>
      <c r="O89" s="37"/>
      <c r="P89" s="37"/>
      <c r="Q89" s="286"/>
      <c r="R89" s="286"/>
      <c r="S89" s="345"/>
      <c r="T89" s="345"/>
      <c r="U89" s="345"/>
      <c r="V89" s="357"/>
      <c r="W89" s="357"/>
      <c r="X89" s="397"/>
      <c r="Y89" s="37"/>
      <c r="Z89" s="39"/>
      <c r="AA89" s="124" t="e">
        <f t="shared" si="1"/>
        <v>#DIV/0!</v>
      </c>
      <c r="AB89" s="216"/>
      <c r="AC89" s="216"/>
      <c r="AD89" s="216"/>
      <c r="AE89" s="216"/>
      <c r="AF89" s="37"/>
      <c r="AG89" s="37"/>
      <c r="AH89" s="210"/>
      <c r="AI89" s="209"/>
      <c r="AJ89" s="37"/>
      <c r="AK89" s="37"/>
      <c r="AL89" s="199"/>
      <c r="AM89" s="454"/>
      <c r="AN89" s="454"/>
      <c r="AO89" s="454"/>
      <c r="AP89" s="454"/>
      <c r="AQ89" s="454"/>
      <c r="AR89" s="455"/>
    </row>
    <row r="90" spans="2:44" x14ac:dyDescent="0.25">
      <c r="B90" s="459"/>
      <c r="C90" s="32"/>
      <c r="D90" s="33"/>
      <c r="E90" s="33"/>
      <c r="F90" s="33"/>
      <c r="G90" s="33"/>
      <c r="H90" s="33"/>
      <c r="I90" s="33"/>
      <c r="J90" s="33"/>
      <c r="K90" s="221"/>
      <c r="L90" s="34"/>
      <c r="M90" s="32"/>
      <c r="N90" s="33"/>
      <c r="O90" s="33"/>
      <c r="P90" s="33"/>
      <c r="Q90" s="287"/>
      <c r="R90" s="287"/>
      <c r="S90" s="344"/>
      <c r="T90" s="344"/>
      <c r="U90" s="344"/>
      <c r="V90" s="356"/>
      <c r="W90" s="356"/>
      <c r="X90" s="396"/>
      <c r="Y90" s="33"/>
      <c r="Z90" s="35"/>
      <c r="AA90" s="123" t="e">
        <f t="shared" si="1"/>
        <v>#DIV/0!</v>
      </c>
      <c r="AB90" s="215"/>
      <c r="AC90" s="215"/>
      <c r="AD90" s="215"/>
      <c r="AE90" s="215"/>
      <c r="AF90" s="33"/>
      <c r="AG90" s="33"/>
      <c r="AH90" s="214"/>
      <c r="AI90" s="209"/>
      <c r="AJ90" s="33"/>
      <c r="AK90" s="33"/>
      <c r="AL90" s="198"/>
      <c r="AM90" s="452"/>
      <c r="AN90" s="452"/>
      <c r="AO90" s="452"/>
      <c r="AP90" s="452"/>
      <c r="AQ90" s="452"/>
      <c r="AR90" s="453"/>
    </row>
    <row r="91" spans="2:44" x14ac:dyDescent="0.25">
      <c r="B91" s="459"/>
      <c r="C91" s="36"/>
      <c r="D91" s="37"/>
      <c r="E91" s="37"/>
      <c r="F91" s="37"/>
      <c r="G91" s="37"/>
      <c r="H91" s="37"/>
      <c r="I91" s="37"/>
      <c r="J91" s="37"/>
      <c r="K91" s="222"/>
      <c r="L91" s="38"/>
      <c r="M91" s="36"/>
      <c r="N91" s="37"/>
      <c r="O91" s="37"/>
      <c r="P91" s="37"/>
      <c r="Q91" s="286"/>
      <c r="R91" s="286"/>
      <c r="S91" s="345"/>
      <c r="T91" s="345"/>
      <c r="U91" s="345"/>
      <c r="V91" s="357"/>
      <c r="W91" s="357"/>
      <c r="X91" s="397"/>
      <c r="Y91" s="37"/>
      <c r="Z91" s="39"/>
      <c r="AA91" s="124" t="e">
        <f t="shared" si="1"/>
        <v>#DIV/0!</v>
      </c>
      <c r="AB91" s="216"/>
      <c r="AC91" s="216"/>
      <c r="AD91" s="216"/>
      <c r="AE91" s="216"/>
      <c r="AF91" s="37"/>
      <c r="AG91" s="37"/>
      <c r="AH91" s="210"/>
      <c r="AI91" s="209"/>
      <c r="AJ91" s="37"/>
      <c r="AK91" s="37"/>
      <c r="AL91" s="199"/>
      <c r="AM91" s="454"/>
      <c r="AN91" s="454"/>
      <c r="AO91" s="454"/>
      <c r="AP91" s="454"/>
      <c r="AQ91" s="454"/>
      <c r="AR91" s="455"/>
    </row>
    <row r="92" spans="2:44" x14ac:dyDescent="0.25">
      <c r="B92" s="459"/>
      <c r="C92" s="32"/>
      <c r="D92" s="33"/>
      <c r="E92" s="33"/>
      <c r="F92" s="33"/>
      <c r="G92" s="33"/>
      <c r="H92" s="33"/>
      <c r="I92" s="33"/>
      <c r="J92" s="33"/>
      <c r="K92" s="221"/>
      <c r="L92" s="34"/>
      <c r="M92" s="32"/>
      <c r="N92" s="33"/>
      <c r="O92" s="33"/>
      <c r="P92" s="33"/>
      <c r="Q92" s="287"/>
      <c r="R92" s="287"/>
      <c r="S92" s="344"/>
      <c r="T92" s="344"/>
      <c r="U92" s="344"/>
      <c r="V92" s="356"/>
      <c r="W92" s="356"/>
      <c r="X92" s="396"/>
      <c r="Y92" s="33"/>
      <c r="Z92" s="35"/>
      <c r="AA92" s="123" t="e">
        <f t="shared" si="1"/>
        <v>#DIV/0!</v>
      </c>
      <c r="AB92" s="215"/>
      <c r="AC92" s="215"/>
      <c r="AD92" s="215"/>
      <c r="AE92" s="215"/>
      <c r="AF92" s="33"/>
      <c r="AG92" s="33"/>
      <c r="AH92" s="214"/>
      <c r="AI92" s="209"/>
      <c r="AJ92" s="33"/>
      <c r="AK92" s="33"/>
      <c r="AL92" s="198"/>
      <c r="AM92" s="452"/>
      <c r="AN92" s="452"/>
      <c r="AO92" s="452"/>
      <c r="AP92" s="452"/>
      <c r="AQ92" s="452"/>
      <c r="AR92" s="453"/>
    </row>
    <row r="93" spans="2:44" x14ac:dyDescent="0.25">
      <c r="B93" s="459"/>
      <c r="C93" s="36"/>
      <c r="D93" s="37"/>
      <c r="E93" s="37"/>
      <c r="F93" s="37"/>
      <c r="G93" s="37"/>
      <c r="H93" s="37"/>
      <c r="I93" s="37"/>
      <c r="J93" s="37"/>
      <c r="K93" s="222"/>
      <c r="L93" s="38"/>
      <c r="M93" s="36"/>
      <c r="N93" s="37"/>
      <c r="O93" s="37"/>
      <c r="P93" s="37"/>
      <c r="Q93" s="286"/>
      <c r="R93" s="286"/>
      <c r="S93" s="345"/>
      <c r="T93" s="345"/>
      <c r="U93" s="345"/>
      <c r="V93" s="357"/>
      <c r="W93" s="357"/>
      <c r="X93" s="397"/>
      <c r="Y93" s="37"/>
      <c r="Z93" s="39"/>
      <c r="AA93" s="124" t="e">
        <f t="shared" ref="AA93:AA109" si="2">L93/(Y93*Z93)</f>
        <v>#DIV/0!</v>
      </c>
      <c r="AB93" s="216"/>
      <c r="AC93" s="216"/>
      <c r="AD93" s="216"/>
      <c r="AE93" s="216"/>
      <c r="AF93" s="37"/>
      <c r="AG93" s="37"/>
      <c r="AH93" s="210"/>
      <c r="AI93" s="209"/>
      <c r="AJ93" s="37"/>
      <c r="AK93" s="37"/>
      <c r="AL93" s="199"/>
      <c r="AM93" s="454"/>
      <c r="AN93" s="454"/>
      <c r="AO93" s="454"/>
      <c r="AP93" s="454"/>
      <c r="AQ93" s="454"/>
      <c r="AR93" s="455"/>
    </row>
    <row r="94" spans="2:44" x14ac:dyDescent="0.25">
      <c r="B94" s="459"/>
      <c r="C94" s="32"/>
      <c r="D94" s="33"/>
      <c r="E94" s="33"/>
      <c r="F94" s="33"/>
      <c r="G94" s="33"/>
      <c r="H94" s="33"/>
      <c r="I94" s="33"/>
      <c r="J94" s="33"/>
      <c r="K94" s="221"/>
      <c r="L94" s="34"/>
      <c r="M94" s="32"/>
      <c r="N94" s="33"/>
      <c r="O94" s="33"/>
      <c r="P94" s="33"/>
      <c r="Q94" s="287"/>
      <c r="R94" s="287"/>
      <c r="S94" s="344"/>
      <c r="T94" s="344"/>
      <c r="U94" s="344"/>
      <c r="V94" s="356"/>
      <c r="W94" s="356"/>
      <c r="X94" s="396"/>
      <c r="Y94" s="33"/>
      <c r="Z94" s="35"/>
      <c r="AA94" s="123" t="e">
        <f t="shared" si="2"/>
        <v>#DIV/0!</v>
      </c>
      <c r="AB94" s="215"/>
      <c r="AC94" s="215"/>
      <c r="AD94" s="215"/>
      <c r="AE94" s="215"/>
      <c r="AF94" s="33"/>
      <c r="AG94" s="33"/>
      <c r="AH94" s="214"/>
      <c r="AI94" s="209"/>
      <c r="AJ94" s="33"/>
      <c r="AK94" s="33"/>
      <c r="AL94" s="198"/>
      <c r="AM94" s="452"/>
      <c r="AN94" s="452"/>
      <c r="AO94" s="452"/>
      <c r="AP94" s="452"/>
      <c r="AQ94" s="452"/>
      <c r="AR94" s="453"/>
    </row>
    <row r="95" spans="2:44" x14ac:dyDescent="0.25">
      <c r="B95" s="459"/>
      <c r="C95" s="36"/>
      <c r="D95" s="37"/>
      <c r="E95" s="37"/>
      <c r="F95" s="37"/>
      <c r="G95" s="37"/>
      <c r="H95" s="37"/>
      <c r="I95" s="37"/>
      <c r="J95" s="37"/>
      <c r="K95" s="222"/>
      <c r="L95" s="38"/>
      <c r="M95" s="36"/>
      <c r="N95" s="37"/>
      <c r="O95" s="37"/>
      <c r="P95" s="37"/>
      <c r="Q95" s="286"/>
      <c r="R95" s="286"/>
      <c r="S95" s="345"/>
      <c r="T95" s="345"/>
      <c r="U95" s="345"/>
      <c r="V95" s="357"/>
      <c r="W95" s="357"/>
      <c r="X95" s="397"/>
      <c r="Y95" s="37"/>
      <c r="Z95" s="39"/>
      <c r="AA95" s="124" t="e">
        <f t="shared" si="2"/>
        <v>#DIV/0!</v>
      </c>
      <c r="AB95" s="216"/>
      <c r="AC95" s="216"/>
      <c r="AD95" s="216"/>
      <c r="AE95" s="216"/>
      <c r="AF95" s="37"/>
      <c r="AG95" s="37"/>
      <c r="AH95" s="210"/>
      <c r="AI95" s="209"/>
      <c r="AJ95" s="37"/>
      <c r="AK95" s="37"/>
      <c r="AL95" s="199"/>
      <c r="AM95" s="454"/>
      <c r="AN95" s="454"/>
      <c r="AO95" s="454"/>
      <c r="AP95" s="454"/>
      <c r="AQ95" s="454"/>
      <c r="AR95" s="455"/>
    </row>
    <row r="96" spans="2:44" x14ac:dyDescent="0.25">
      <c r="B96" s="459"/>
      <c r="C96" s="32"/>
      <c r="D96" s="33"/>
      <c r="E96" s="33"/>
      <c r="F96" s="33"/>
      <c r="G96" s="33"/>
      <c r="H96" s="33"/>
      <c r="I96" s="33"/>
      <c r="J96" s="33"/>
      <c r="K96" s="221"/>
      <c r="L96" s="34"/>
      <c r="M96" s="32"/>
      <c r="N96" s="33"/>
      <c r="O96" s="33"/>
      <c r="P96" s="33"/>
      <c r="Q96" s="287"/>
      <c r="R96" s="287"/>
      <c r="S96" s="344"/>
      <c r="T96" s="344"/>
      <c r="U96" s="344"/>
      <c r="V96" s="356"/>
      <c r="W96" s="356"/>
      <c r="X96" s="396"/>
      <c r="Y96" s="33"/>
      <c r="Z96" s="35"/>
      <c r="AA96" s="123" t="e">
        <f t="shared" si="2"/>
        <v>#DIV/0!</v>
      </c>
      <c r="AB96" s="215"/>
      <c r="AC96" s="215"/>
      <c r="AD96" s="215"/>
      <c r="AE96" s="215"/>
      <c r="AF96" s="33"/>
      <c r="AG96" s="33"/>
      <c r="AH96" s="214"/>
      <c r="AI96" s="209"/>
      <c r="AJ96" s="33"/>
      <c r="AK96" s="33"/>
      <c r="AL96" s="198"/>
      <c r="AM96" s="452"/>
      <c r="AN96" s="452"/>
      <c r="AO96" s="452"/>
      <c r="AP96" s="452"/>
      <c r="AQ96" s="452"/>
      <c r="AR96" s="453"/>
    </row>
    <row r="97" spans="2:44" x14ac:dyDescent="0.25">
      <c r="B97" s="459"/>
      <c r="C97" s="36"/>
      <c r="D97" s="37"/>
      <c r="E97" s="37"/>
      <c r="F97" s="37"/>
      <c r="G97" s="37"/>
      <c r="H97" s="37"/>
      <c r="I97" s="37"/>
      <c r="J97" s="37"/>
      <c r="K97" s="222"/>
      <c r="L97" s="38"/>
      <c r="M97" s="36"/>
      <c r="N97" s="37"/>
      <c r="O97" s="37"/>
      <c r="P97" s="37"/>
      <c r="Q97" s="286"/>
      <c r="R97" s="286"/>
      <c r="S97" s="345"/>
      <c r="T97" s="345"/>
      <c r="U97" s="345"/>
      <c r="V97" s="357"/>
      <c r="W97" s="357"/>
      <c r="X97" s="397"/>
      <c r="Y97" s="37"/>
      <c r="Z97" s="39"/>
      <c r="AA97" s="124" t="e">
        <f t="shared" si="2"/>
        <v>#DIV/0!</v>
      </c>
      <c r="AB97" s="216"/>
      <c r="AC97" s="216"/>
      <c r="AD97" s="216"/>
      <c r="AE97" s="216"/>
      <c r="AF97" s="37"/>
      <c r="AG97" s="37"/>
      <c r="AH97" s="210"/>
      <c r="AI97" s="209"/>
      <c r="AJ97" s="37"/>
      <c r="AK97" s="37"/>
      <c r="AL97" s="199"/>
      <c r="AM97" s="454"/>
      <c r="AN97" s="454"/>
      <c r="AO97" s="454"/>
      <c r="AP97" s="454"/>
      <c r="AQ97" s="454"/>
      <c r="AR97" s="455"/>
    </row>
    <row r="98" spans="2:44" x14ac:dyDescent="0.25">
      <c r="B98" s="459"/>
      <c r="C98" s="32"/>
      <c r="D98" s="33"/>
      <c r="E98" s="33"/>
      <c r="F98" s="33"/>
      <c r="G98" s="33"/>
      <c r="H98" s="33"/>
      <c r="I98" s="33"/>
      <c r="J98" s="33"/>
      <c r="K98" s="221"/>
      <c r="L98" s="34"/>
      <c r="M98" s="32"/>
      <c r="N98" s="33"/>
      <c r="O98" s="33"/>
      <c r="P98" s="33"/>
      <c r="Q98" s="287"/>
      <c r="R98" s="287"/>
      <c r="S98" s="344"/>
      <c r="T98" s="344"/>
      <c r="U98" s="344"/>
      <c r="V98" s="356"/>
      <c r="W98" s="356"/>
      <c r="X98" s="396"/>
      <c r="Y98" s="33"/>
      <c r="Z98" s="35"/>
      <c r="AA98" s="123" t="e">
        <f t="shared" si="2"/>
        <v>#DIV/0!</v>
      </c>
      <c r="AB98" s="215"/>
      <c r="AC98" s="215"/>
      <c r="AD98" s="215"/>
      <c r="AE98" s="215"/>
      <c r="AF98" s="33"/>
      <c r="AG98" s="33"/>
      <c r="AH98" s="214"/>
      <c r="AI98" s="209"/>
      <c r="AJ98" s="33"/>
      <c r="AK98" s="33"/>
      <c r="AL98" s="198"/>
      <c r="AM98" s="452"/>
      <c r="AN98" s="452"/>
      <c r="AO98" s="452"/>
      <c r="AP98" s="452"/>
      <c r="AQ98" s="452"/>
      <c r="AR98" s="453"/>
    </row>
    <row r="99" spans="2:44" x14ac:dyDescent="0.25">
      <c r="B99" s="459"/>
      <c r="C99" s="36"/>
      <c r="D99" s="37"/>
      <c r="E99" s="37"/>
      <c r="F99" s="37"/>
      <c r="G99" s="37"/>
      <c r="H99" s="37"/>
      <c r="I99" s="37"/>
      <c r="J99" s="37"/>
      <c r="K99" s="222"/>
      <c r="L99" s="38"/>
      <c r="M99" s="36"/>
      <c r="N99" s="37"/>
      <c r="O99" s="37"/>
      <c r="P99" s="37"/>
      <c r="Q99" s="286"/>
      <c r="R99" s="286"/>
      <c r="S99" s="345"/>
      <c r="T99" s="345"/>
      <c r="U99" s="345"/>
      <c r="V99" s="357"/>
      <c r="W99" s="357"/>
      <c r="X99" s="397"/>
      <c r="Y99" s="37"/>
      <c r="Z99" s="39"/>
      <c r="AA99" s="124" t="e">
        <f t="shared" si="2"/>
        <v>#DIV/0!</v>
      </c>
      <c r="AB99" s="216"/>
      <c r="AC99" s="216"/>
      <c r="AD99" s="216"/>
      <c r="AE99" s="216"/>
      <c r="AF99" s="37"/>
      <c r="AG99" s="37"/>
      <c r="AH99" s="210"/>
      <c r="AI99" s="209"/>
      <c r="AJ99" s="37"/>
      <c r="AK99" s="37"/>
      <c r="AL99" s="199"/>
      <c r="AM99" s="454"/>
      <c r="AN99" s="454"/>
      <c r="AO99" s="454"/>
      <c r="AP99" s="454"/>
      <c r="AQ99" s="454"/>
      <c r="AR99" s="455"/>
    </row>
    <row r="100" spans="2:44" x14ac:dyDescent="0.25">
      <c r="B100" s="459"/>
      <c r="C100" s="32"/>
      <c r="D100" s="33"/>
      <c r="E100" s="33"/>
      <c r="F100" s="33"/>
      <c r="G100" s="33"/>
      <c r="H100" s="33"/>
      <c r="I100" s="33"/>
      <c r="J100" s="33"/>
      <c r="K100" s="221"/>
      <c r="L100" s="34"/>
      <c r="M100" s="32"/>
      <c r="N100" s="33"/>
      <c r="O100" s="33"/>
      <c r="P100" s="33"/>
      <c r="Q100" s="287"/>
      <c r="R100" s="287"/>
      <c r="S100" s="344"/>
      <c r="T100" s="344"/>
      <c r="U100" s="344"/>
      <c r="V100" s="356"/>
      <c r="W100" s="356"/>
      <c r="X100" s="396"/>
      <c r="Y100" s="33"/>
      <c r="Z100" s="35"/>
      <c r="AA100" s="123" t="e">
        <f t="shared" si="2"/>
        <v>#DIV/0!</v>
      </c>
      <c r="AB100" s="215"/>
      <c r="AC100" s="215"/>
      <c r="AD100" s="215"/>
      <c r="AE100" s="215"/>
      <c r="AF100" s="33"/>
      <c r="AG100" s="33"/>
      <c r="AH100" s="214"/>
      <c r="AI100" s="209"/>
      <c r="AJ100" s="33"/>
      <c r="AK100" s="33"/>
      <c r="AL100" s="198"/>
      <c r="AM100" s="452"/>
      <c r="AN100" s="452"/>
      <c r="AO100" s="452"/>
      <c r="AP100" s="452"/>
      <c r="AQ100" s="452"/>
      <c r="AR100" s="453"/>
    </row>
    <row r="101" spans="2:44" x14ac:dyDescent="0.25">
      <c r="B101" s="459"/>
      <c r="C101" s="36"/>
      <c r="D101" s="37"/>
      <c r="E101" s="37"/>
      <c r="F101" s="37"/>
      <c r="G101" s="37"/>
      <c r="H101" s="37"/>
      <c r="I101" s="37"/>
      <c r="J101" s="37"/>
      <c r="K101" s="222"/>
      <c r="L101" s="38"/>
      <c r="M101" s="36"/>
      <c r="N101" s="37"/>
      <c r="O101" s="37"/>
      <c r="P101" s="37"/>
      <c r="Q101" s="286"/>
      <c r="R101" s="286"/>
      <c r="S101" s="345"/>
      <c r="T101" s="345"/>
      <c r="U101" s="345"/>
      <c r="V101" s="357"/>
      <c r="W101" s="357"/>
      <c r="X101" s="397"/>
      <c r="Y101" s="37"/>
      <c r="Z101" s="39"/>
      <c r="AA101" s="124" t="e">
        <f t="shared" si="2"/>
        <v>#DIV/0!</v>
      </c>
      <c r="AB101" s="216"/>
      <c r="AC101" s="216"/>
      <c r="AD101" s="216"/>
      <c r="AE101" s="216"/>
      <c r="AF101" s="37"/>
      <c r="AG101" s="37"/>
      <c r="AH101" s="210"/>
      <c r="AI101" s="209"/>
      <c r="AJ101" s="37"/>
      <c r="AK101" s="37"/>
      <c r="AL101" s="199"/>
      <c r="AM101" s="454"/>
      <c r="AN101" s="454"/>
      <c r="AO101" s="454"/>
      <c r="AP101" s="454"/>
      <c r="AQ101" s="454"/>
      <c r="AR101" s="455"/>
    </row>
    <row r="102" spans="2:44" x14ac:dyDescent="0.25">
      <c r="B102" s="459"/>
      <c r="C102" s="32"/>
      <c r="D102" s="33"/>
      <c r="E102" s="33"/>
      <c r="F102" s="33"/>
      <c r="G102" s="33"/>
      <c r="H102" s="33"/>
      <c r="I102" s="33"/>
      <c r="J102" s="33"/>
      <c r="K102" s="221"/>
      <c r="L102" s="34"/>
      <c r="M102" s="32"/>
      <c r="N102" s="33"/>
      <c r="O102" s="33"/>
      <c r="P102" s="33"/>
      <c r="Q102" s="287"/>
      <c r="R102" s="287"/>
      <c r="S102" s="344"/>
      <c r="T102" s="344"/>
      <c r="U102" s="344"/>
      <c r="V102" s="356"/>
      <c r="W102" s="356"/>
      <c r="X102" s="396"/>
      <c r="Y102" s="33"/>
      <c r="Z102" s="35"/>
      <c r="AA102" s="123" t="e">
        <f t="shared" si="2"/>
        <v>#DIV/0!</v>
      </c>
      <c r="AB102" s="215"/>
      <c r="AC102" s="215"/>
      <c r="AD102" s="215"/>
      <c r="AE102" s="215"/>
      <c r="AF102" s="33"/>
      <c r="AG102" s="33"/>
      <c r="AH102" s="214"/>
      <c r="AI102" s="209"/>
      <c r="AJ102" s="33"/>
      <c r="AK102" s="33"/>
      <c r="AL102" s="198"/>
      <c r="AM102" s="452"/>
      <c r="AN102" s="452"/>
      <c r="AO102" s="452"/>
      <c r="AP102" s="452"/>
      <c r="AQ102" s="452"/>
      <c r="AR102" s="453"/>
    </row>
    <row r="103" spans="2:44" x14ac:dyDescent="0.25">
      <c r="B103" s="459"/>
      <c r="C103" s="36"/>
      <c r="D103" s="37"/>
      <c r="E103" s="37"/>
      <c r="F103" s="37"/>
      <c r="G103" s="37"/>
      <c r="H103" s="37"/>
      <c r="I103" s="37"/>
      <c r="J103" s="37"/>
      <c r="K103" s="222"/>
      <c r="L103" s="38"/>
      <c r="M103" s="36"/>
      <c r="N103" s="37"/>
      <c r="O103" s="37"/>
      <c r="P103" s="37"/>
      <c r="Q103" s="286"/>
      <c r="R103" s="286"/>
      <c r="S103" s="345"/>
      <c r="T103" s="345"/>
      <c r="U103" s="345"/>
      <c r="V103" s="357"/>
      <c r="W103" s="357"/>
      <c r="X103" s="397"/>
      <c r="Y103" s="37"/>
      <c r="Z103" s="39"/>
      <c r="AA103" s="124" t="e">
        <f t="shared" si="2"/>
        <v>#DIV/0!</v>
      </c>
      <c r="AB103" s="216"/>
      <c r="AC103" s="216"/>
      <c r="AD103" s="216"/>
      <c r="AE103" s="216"/>
      <c r="AF103" s="37"/>
      <c r="AG103" s="37"/>
      <c r="AH103" s="210"/>
      <c r="AI103" s="209"/>
      <c r="AJ103" s="37"/>
      <c r="AK103" s="37"/>
      <c r="AL103" s="199"/>
      <c r="AM103" s="454"/>
      <c r="AN103" s="454"/>
      <c r="AO103" s="454"/>
      <c r="AP103" s="454"/>
      <c r="AQ103" s="454"/>
      <c r="AR103" s="455"/>
    </row>
    <row r="104" spans="2:44" x14ac:dyDescent="0.25">
      <c r="B104" s="459"/>
      <c r="C104" s="32"/>
      <c r="D104" s="33"/>
      <c r="E104" s="33"/>
      <c r="F104" s="33"/>
      <c r="G104" s="33"/>
      <c r="H104" s="33"/>
      <c r="I104" s="33"/>
      <c r="J104" s="33"/>
      <c r="K104" s="221"/>
      <c r="L104" s="34"/>
      <c r="M104" s="32"/>
      <c r="N104" s="33"/>
      <c r="O104" s="33"/>
      <c r="P104" s="33"/>
      <c r="Q104" s="287"/>
      <c r="R104" s="287"/>
      <c r="S104" s="344"/>
      <c r="T104" s="344"/>
      <c r="U104" s="344"/>
      <c r="V104" s="356"/>
      <c r="W104" s="356"/>
      <c r="X104" s="396"/>
      <c r="Y104" s="33"/>
      <c r="Z104" s="35"/>
      <c r="AA104" s="123" t="e">
        <f t="shared" si="2"/>
        <v>#DIV/0!</v>
      </c>
      <c r="AB104" s="215"/>
      <c r="AC104" s="215"/>
      <c r="AD104" s="215"/>
      <c r="AE104" s="215"/>
      <c r="AF104" s="33"/>
      <c r="AG104" s="33"/>
      <c r="AH104" s="214"/>
      <c r="AI104" s="209"/>
      <c r="AJ104" s="33"/>
      <c r="AK104" s="33"/>
      <c r="AL104" s="198"/>
      <c r="AM104" s="452"/>
      <c r="AN104" s="452"/>
      <c r="AO104" s="452"/>
      <c r="AP104" s="452"/>
      <c r="AQ104" s="452"/>
      <c r="AR104" s="453"/>
    </row>
    <row r="105" spans="2:44" x14ac:dyDescent="0.25">
      <c r="B105" s="459"/>
      <c r="C105" s="36"/>
      <c r="D105" s="37"/>
      <c r="E105" s="37"/>
      <c r="F105" s="37"/>
      <c r="G105" s="37"/>
      <c r="H105" s="37"/>
      <c r="I105" s="37"/>
      <c r="J105" s="37"/>
      <c r="K105" s="222"/>
      <c r="L105" s="38"/>
      <c r="M105" s="36"/>
      <c r="N105" s="37"/>
      <c r="O105" s="37"/>
      <c r="P105" s="37"/>
      <c r="Q105" s="286"/>
      <c r="R105" s="286"/>
      <c r="S105" s="345"/>
      <c r="T105" s="345"/>
      <c r="U105" s="345"/>
      <c r="V105" s="357"/>
      <c r="W105" s="357"/>
      <c r="X105" s="397"/>
      <c r="Y105" s="37"/>
      <c r="Z105" s="39"/>
      <c r="AA105" s="124" t="e">
        <f t="shared" si="2"/>
        <v>#DIV/0!</v>
      </c>
      <c r="AB105" s="216"/>
      <c r="AC105" s="216"/>
      <c r="AD105" s="216"/>
      <c r="AE105" s="216"/>
      <c r="AF105" s="37"/>
      <c r="AG105" s="37"/>
      <c r="AH105" s="210"/>
      <c r="AI105" s="209"/>
      <c r="AJ105" s="37"/>
      <c r="AK105" s="37"/>
      <c r="AL105" s="199"/>
      <c r="AM105" s="454"/>
      <c r="AN105" s="454"/>
      <c r="AO105" s="454"/>
      <c r="AP105" s="454"/>
      <c r="AQ105" s="454"/>
      <c r="AR105" s="455"/>
    </row>
    <row r="106" spans="2:44" x14ac:dyDescent="0.25">
      <c r="B106" s="459"/>
      <c r="C106" s="32"/>
      <c r="D106" s="33"/>
      <c r="E106" s="33"/>
      <c r="F106" s="33"/>
      <c r="G106" s="33"/>
      <c r="H106" s="33"/>
      <c r="I106" s="33"/>
      <c r="J106" s="33"/>
      <c r="K106" s="221"/>
      <c r="L106" s="34"/>
      <c r="M106" s="32"/>
      <c r="N106" s="33"/>
      <c r="O106" s="33"/>
      <c r="P106" s="33"/>
      <c r="Q106" s="287"/>
      <c r="R106" s="287"/>
      <c r="S106" s="344"/>
      <c r="T106" s="344"/>
      <c r="U106" s="344"/>
      <c r="V106" s="356"/>
      <c r="W106" s="356"/>
      <c r="X106" s="396"/>
      <c r="Y106" s="33"/>
      <c r="Z106" s="35"/>
      <c r="AA106" s="123" t="e">
        <f t="shared" si="2"/>
        <v>#DIV/0!</v>
      </c>
      <c r="AB106" s="215"/>
      <c r="AC106" s="215"/>
      <c r="AD106" s="215"/>
      <c r="AE106" s="215"/>
      <c r="AF106" s="33"/>
      <c r="AG106" s="33"/>
      <c r="AH106" s="214"/>
      <c r="AI106" s="209"/>
      <c r="AJ106" s="33"/>
      <c r="AK106" s="33"/>
      <c r="AL106" s="198"/>
      <c r="AM106" s="452"/>
      <c r="AN106" s="452"/>
      <c r="AO106" s="452"/>
      <c r="AP106" s="452"/>
      <c r="AQ106" s="452"/>
      <c r="AR106" s="453"/>
    </row>
    <row r="107" spans="2:44" x14ac:dyDescent="0.25">
      <c r="B107" s="459"/>
      <c r="C107" s="36"/>
      <c r="D107" s="37"/>
      <c r="E107" s="37"/>
      <c r="F107" s="37"/>
      <c r="G107" s="37"/>
      <c r="H107" s="37"/>
      <c r="I107" s="37"/>
      <c r="J107" s="37"/>
      <c r="K107" s="222"/>
      <c r="L107" s="38"/>
      <c r="M107" s="36"/>
      <c r="N107" s="37"/>
      <c r="O107" s="37"/>
      <c r="P107" s="37"/>
      <c r="Q107" s="286"/>
      <c r="R107" s="286"/>
      <c r="S107" s="345"/>
      <c r="T107" s="345"/>
      <c r="U107" s="345"/>
      <c r="V107" s="357"/>
      <c r="W107" s="357"/>
      <c r="X107" s="397"/>
      <c r="Y107" s="37"/>
      <c r="Z107" s="39"/>
      <c r="AA107" s="124" t="e">
        <f t="shared" si="2"/>
        <v>#DIV/0!</v>
      </c>
      <c r="AB107" s="216"/>
      <c r="AC107" s="216"/>
      <c r="AD107" s="216"/>
      <c r="AE107" s="216"/>
      <c r="AF107" s="37"/>
      <c r="AG107" s="37"/>
      <c r="AH107" s="210"/>
      <c r="AI107" s="209"/>
      <c r="AJ107" s="37"/>
      <c r="AK107" s="37"/>
      <c r="AL107" s="199"/>
      <c r="AM107" s="454"/>
      <c r="AN107" s="454"/>
      <c r="AO107" s="454"/>
      <c r="AP107" s="454"/>
      <c r="AQ107" s="454"/>
      <c r="AR107" s="455"/>
    </row>
    <row r="108" spans="2:44" x14ac:dyDescent="0.25">
      <c r="B108" s="459"/>
      <c r="C108" s="32"/>
      <c r="D108" s="33"/>
      <c r="E108" s="33"/>
      <c r="F108" s="33"/>
      <c r="G108" s="33"/>
      <c r="H108" s="33"/>
      <c r="I108" s="33"/>
      <c r="J108" s="33"/>
      <c r="K108" s="221"/>
      <c r="L108" s="34"/>
      <c r="M108" s="32"/>
      <c r="N108" s="33"/>
      <c r="O108" s="33"/>
      <c r="P108" s="33"/>
      <c r="Q108" s="287"/>
      <c r="R108" s="287"/>
      <c r="S108" s="344"/>
      <c r="T108" s="344"/>
      <c r="U108" s="344"/>
      <c r="V108" s="356"/>
      <c r="W108" s="356"/>
      <c r="X108" s="396"/>
      <c r="Y108" s="33"/>
      <c r="Z108" s="35"/>
      <c r="AA108" s="123" t="e">
        <f t="shared" si="2"/>
        <v>#DIV/0!</v>
      </c>
      <c r="AB108" s="215"/>
      <c r="AC108" s="215"/>
      <c r="AD108" s="215"/>
      <c r="AE108" s="215"/>
      <c r="AF108" s="33"/>
      <c r="AG108" s="33"/>
      <c r="AH108" s="214"/>
      <c r="AI108" s="209"/>
      <c r="AJ108" s="33"/>
      <c r="AK108" s="33"/>
      <c r="AL108" s="198"/>
      <c r="AM108" s="452"/>
      <c r="AN108" s="452"/>
      <c r="AO108" s="452"/>
      <c r="AP108" s="452"/>
      <c r="AQ108" s="452"/>
      <c r="AR108" s="453"/>
    </row>
    <row r="109" spans="2:44" x14ac:dyDescent="0.25">
      <c r="B109" s="459"/>
      <c r="C109" s="36"/>
      <c r="D109" s="37"/>
      <c r="E109" s="37"/>
      <c r="F109" s="37"/>
      <c r="G109" s="37"/>
      <c r="H109" s="37"/>
      <c r="I109" s="37"/>
      <c r="J109" s="37"/>
      <c r="K109" s="222"/>
      <c r="L109" s="38"/>
      <c r="M109" s="36"/>
      <c r="N109" s="37"/>
      <c r="O109" s="37"/>
      <c r="P109" s="37"/>
      <c r="Q109" s="286"/>
      <c r="R109" s="286"/>
      <c r="S109" s="345"/>
      <c r="T109" s="345"/>
      <c r="U109" s="345"/>
      <c r="V109" s="357"/>
      <c r="W109" s="357"/>
      <c r="X109" s="397"/>
      <c r="Y109" s="37"/>
      <c r="Z109" s="39"/>
      <c r="AA109" s="124" t="e">
        <f t="shared" si="2"/>
        <v>#DIV/0!</v>
      </c>
      <c r="AB109" s="216"/>
      <c r="AC109" s="216"/>
      <c r="AD109" s="216"/>
      <c r="AE109" s="216"/>
      <c r="AF109" s="37"/>
      <c r="AG109" s="37"/>
      <c r="AH109" s="210"/>
      <c r="AI109" s="209"/>
      <c r="AJ109" s="37"/>
      <c r="AK109" s="37"/>
      <c r="AL109" s="199"/>
      <c r="AM109" s="454"/>
      <c r="AN109" s="454"/>
      <c r="AO109" s="454"/>
      <c r="AP109" s="454"/>
      <c r="AQ109" s="454"/>
      <c r="AR109" s="455"/>
    </row>
    <row r="110" spans="2:44" ht="15.75" thickBot="1" x14ac:dyDescent="0.3">
      <c r="B110" s="460"/>
      <c r="C110" s="40"/>
      <c r="D110" s="41"/>
      <c r="E110" s="41"/>
      <c r="F110" s="41"/>
      <c r="G110" s="41"/>
      <c r="H110" s="41"/>
      <c r="I110" s="41"/>
      <c r="J110" s="41"/>
      <c r="K110" s="224"/>
      <c r="L110" s="42"/>
      <c r="M110" s="40"/>
      <c r="N110" s="41"/>
      <c r="O110" s="41"/>
      <c r="P110" s="41"/>
      <c r="Q110" s="289"/>
      <c r="R110" s="289"/>
      <c r="S110" s="346"/>
      <c r="T110" s="346"/>
      <c r="U110" s="346"/>
      <c r="V110" s="358"/>
      <c r="W110" s="358"/>
      <c r="X110" s="398"/>
      <c r="Y110" s="41"/>
      <c r="Z110" s="43"/>
      <c r="AA110" s="125"/>
      <c r="AB110" s="218"/>
      <c r="AC110" s="218"/>
      <c r="AD110" s="218"/>
      <c r="AE110" s="218"/>
      <c r="AF110" s="41"/>
      <c r="AG110" s="41"/>
      <c r="AH110" s="44"/>
      <c r="AI110" s="209"/>
      <c r="AJ110" s="41"/>
      <c r="AK110" s="41"/>
      <c r="AL110" s="201"/>
      <c r="AM110" s="456"/>
      <c r="AN110" s="456"/>
      <c r="AO110" s="456"/>
      <c r="AP110" s="456"/>
      <c r="AQ110" s="456"/>
      <c r="AR110" s="457"/>
    </row>
  </sheetData>
  <mergeCells count="174">
    <mergeCell ref="K16:L16"/>
    <mergeCell ref="K15:L15"/>
    <mergeCell ref="K14:L14"/>
    <mergeCell ref="K13:L13"/>
    <mergeCell ref="AM20:AR20"/>
    <mergeCell ref="AM21:AR21"/>
    <mergeCell ref="C2:L2"/>
    <mergeCell ref="M2:Z2"/>
    <mergeCell ref="AM3:AR3"/>
    <mergeCell ref="AA2:AR2"/>
    <mergeCell ref="AM9:AR9"/>
    <mergeCell ref="AM10:AR10"/>
    <mergeCell ref="AM11:AR11"/>
    <mergeCell ref="AM12:AR12"/>
    <mergeCell ref="AM13:AR13"/>
    <mergeCell ref="C3:C4"/>
    <mergeCell ref="D3:D4"/>
    <mergeCell ref="E3:E4"/>
    <mergeCell ref="F3:F4"/>
    <mergeCell ref="G3:G4"/>
    <mergeCell ref="H3:H4"/>
    <mergeCell ref="I3:I4"/>
    <mergeCell ref="AI3:AI4"/>
    <mergeCell ref="J3:J4"/>
    <mergeCell ref="N3:N4"/>
    <mergeCell ref="O3:O4"/>
    <mergeCell ref="P3:P4"/>
    <mergeCell ref="AM15:AR15"/>
    <mergeCell ref="AM16:AR16"/>
    <mergeCell ref="AM17:AR17"/>
    <mergeCell ref="AM18:AR18"/>
    <mergeCell ref="AM19:AR19"/>
    <mergeCell ref="AM14:AR14"/>
    <mergeCell ref="AM5:AR5"/>
    <mergeCell ref="AM6:AR6"/>
    <mergeCell ref="AM7:AR7"/>
    <mergeCell ref="AM8:AR8"/>
    <mergeCell ref="T3:U3"/>
    <mergeCell ref="Q3:S3"/>
    <mergeCell ref="V3:W3"/>
    <mergeCell ref="X3:X4"/>
    <mergeCell ref="AM26:AR26"/>
    <mergeCell ref="AM27:AR27"/>
    <mergeCell ref="AM28:AR28"/>
    <mergeCell ref="AM29:AR29"/>
    <mergeCell ref="AM30:AR30"/>
    <mergeCell ref="AM31:AR31"/>
    <mergeCell ref="AM22:AR22"/>
    <mergeCell ref="AM23:AR23"/>
    <mergeCell ref="AM24:AR24"/>
    <mergeCell ref="AM25:AR25"/>
    <mergeCell ref="AM50:AR50"/>
    <mergeCell ref="AM51:AR51"/>
    <mergeCell ref="AM52:AR52"/>
    <mergeCell ref="AM53:AR53"/>
    <mergeCell ref="AM54:AR54"/>
    <mergeCell ref="AM55:AR55"/>
    <mergeCell ref="AM45:AR45"/>
    <mergeCell ref="AM46:AR46"/>
    <mergeCell ref="B5:B19"/>
    <mergeCell ref="AM47:AR47"/>
    <mergeCell ref="AM48:AR48"/>
    <mergeCell ref="AM49:AR49"/>
    <mergeCell ref="AM39:AR39"/>
    <mergeCell ref="AM40:AR40"/>
    <mergeCell ref="AM41:AR41"/>
    <mergeCell ref="AM42:AR42"/>
    <mergeCell ref="AM43:AR43"/>
    <mergeCell ref="AM44:AR44"/>
    <mergeCell ref="AM32:AR32"/>
    <mergeCell ref="AM33:AR33"/>
    <mergeCell ref="AM35:AR35"/>
    <mergeCell ref="AM36:AR36"/>
    <mergeCell ref="AM37:AR37"/>
    <mergeCell ref="AM38:AR38"/>
    <mergeCell ref="AM65:AR65"/>
    <mergeCell ref="AM66:AR66"/>
    <mergeCell ref="AM67:AR67"/>
    <mergeCell ref="AM68:AR68"/>
    <mergeCell ref="AM69:AR69"/>
    <mergeCell ref="AM56:AR56"/>
    <mergeCell ref="AM57:AR57"/>
    <mergeCell ref="AM58:AR58"/>
    <mergeCell ref="AM61:AR61"/>
    <mergeCell ref="AM62:AR62"/>
    <mergeCell ref="AM63:AR63"/>
    <mergeCell ref="AM70:AR70"/>
    <mergeCell ref="AM71:AR71"/>
    <mergeCell ref="AM72:AR72"/>
    <mergeCell ref="AM73:AR73"/>
    <mergeCell ref="AM74:AR74"/>
    <mergeCell ref="AM75:AR75"/>
    <mergeCell ref="AM64:AR64"/>
    <mergeCell ref="AM110:AR110"/>
    <mergeCell ref="B22:B110"/>
    <mergeCell ref="AM100:AR100"/>
    <mergeCell ref="AM101:AR101"/>
    <mergeCell ref="AM102:AR102"/>
    <mergeCell ref="AM103:AR103"/>
    <mergeCell ref="AM104:AR104"/>
    <mergeCell ref="AM105:AR105"/>
    <mergeCell ref="AM94:AR94"/>
    <mergeCell ref="AM95:AR95"/>
    <mergeCell ref="AM96:AR96"/>
    <mergeCell ref="AM97:AR97"/>
    <mergeCell ref="AM98:AR98"/>
    <mergeCell ref="AM99:AR99"/>
    <mergeCell ref="AM88:AR88"/>
    <mergeCell ref="AM89:AR89"/>
    <mergeCell ref="AM90:AR90"/>
    <mergeCell ref="AM106:AR106"/>
    <mergeCell ref="AM107:AR107"/>
    <mergeCell ref="AM108:AR108"/>
    <mergeCell ref="AM109:AR109"/>
    <mergeCell ref="AM86:AR86"/>
    <mergeCell ref="AM87:AR87"/>
    <mergeCell ref="AM76:AR76"/>
    <mergeCell ref="AM77:AR77"/>
    <mergeCell ref="AM78:AR78"/>
    <mergeCell ref="AM79:AR79"/>
    <mergeCell ref="AM80:AR80"/>
    <mergeCell ref="AM81:AR81"/>
    <mergeCell ref="AM91:AR91"/>
    <mergeCell ref="AM92:AR92"/>
    <mergeCell ref="AM93:AR93"/>
    <mergeCell ref="AM82:AR82"/>
    <mergeCell ref="AM83:AR83"/>
    <mergeCell ref="AM84:AR84"/>
    <mergeCell ref="AM85:AR85"/>
    <mergeCell ref="AB44:AF44"/>
    <mergeCell ref="AG3:AG4"/>
    <mergeCell ref="AH3:AH4"/>
    <mergeCell ref="AB28:AF28"/>
    <mergeCell ref="AB29:AF29"/>
    <mergeCell ref="AB30:AF30"/>
    <mergeCell ref="AB31:AF31"/>
    <mergeCell ref="AB32:AF32"/>
    <mergeCell ref="AB33:AF33"/>
    <mergeCell ref="AB35:AF35"/>
    <mergeCell ref="AB36:AF36"/>
    <mergeCell ref="AB37:AF37"/>
    <mergeCell ref="AB3:AF3"/>
    <mergeCell ref="AB21:AF21"/>
    <mergeCell ref="AB22:AF22"/>
    <mergeCell ref="AB23:AF23"/>
    <mergeCell ref="AB24:AF24"/>
    <mergeCell ref="AB25:AF25"/>
    <mergeCell ref="AB26:AF26"/>
    <mergeCell ref="AB27:AF27"/>
    <mergeCell ref="AB43:AF43"/>
    <mergeCell ref="K3:L4"/>
    <mergeCell ref="AJ3:AJ4"/>
    <mergeCell ref="AK3:AK4"/>
    <mergeCell ref="AL3:AL4"/>
    <mergeCell ref="AB38:AF38"/>
    <mergeCell ref="AB39:AF39"/>
    <mergeCell ref="AB40:AF40"/>
    <mergeCell ref="AB41:AF41"/>
    <mergeCell ref="AB42:AF42"/>
    <mergeCell ref="Y3:Y4"/>
    <mergeCell ref="Z3:Z4"/>
    <mergeCell ref="AA3:AA4"/>
    <mergeCell ref="K18:L18"/>
    <mergeCell ref="K19:L19"/>
    <mergeCell ref="K5:L5"/>
    <mergeCell ref="K6:L6"/>
    <mergeCell ref="K7:L7"/>
    <mergeCell ref="K8:L8"/>
    <mergeCell ref="K9:L9"/>
    <mergeCell ref="K10:L10"/>
    <mergeCell ref="K11:L11"/>
    <mergeCell ref="K12:L12"/>
    <mergeCell ref="K17:L17"/>
    <mergeCell ref="M3:M4"/>
  </mergeCells>
  <phoneticPr fontId="15" type="noConversion"/>
  <conditionalFormatting sqref="AH5:AH19 AH22:AH110">
    <cfRule type="cellIs" dxfId="34" priority="15" operator="greaterThan">
      <formula>0.015</formula>
    </cfRule>
    <cfRule type="cellIs" dxfId="33" priority="16" operator="lessThanOrEqual">
      <formula>0.015</formula>
    </cfRule>
  </conditionalFormatting>
  <conditionalFormatting sqref="AI22:AI110">
    <cfRule type="cellIs" dxfId="32" priority="26" operator="notBetween">
      <formula>$L22</formula>
      <formula>$AG22</formula>
    </cfRule>
    <cfRule type="cellIs" dxfId="31" priority="27" operator="between">
      <formula>$L22</formula>
      <formula>$AG22</formula>
    </cfRule>
  </conditionalFormatting>
  <conditionalFormatting sqref="AI5">
    <cfRule type="cellIs" dxfId="30" priority="28" operator="notBetween">
      <formula>$K$5</formula>
      <formula>$AG$5</formula>
    </cfRule>
    <cfRule type="cellIs" dxfId="29" priority="29" operator="between">
      <formula>$K$5</formula>
      <formula>$AG$5</formula>
    </cfRule>
  </conditionalFormatting>
  <conditionalFormatting sqref="AI6">
    <cfRule type="cellIs" dxfId="28" priority="30" operator="between">
      <formula>$K$6</formula>
      <formula>$AG$6</formula>
    </cfRule>
  </conditionalFormatting>
  <conditionalFormatting sqref="AI6">
    <cfRule type="cellIs" dxfId="27" priority="31" operator="notBetween">
      <formula>$K$6</formula>
      <formula>$AG$6</formula>
    </cfRule>
  </conditionalFormatting>
  <conditionalFormatting sqref="AI7:AI19">
    <cfRule type="cellIs" dxfId="26" priority="34" operator="between">
      <formula>$K7</formula>
      <formula>$AG7</formula>
    </cfRule>
    <cfRule type="cellIs" dxfId="25" priority="35" operator="notBetween">
      <formula>$K7</formula>
      <formula>$AG7</formula>
    </cfRule>
  </conditionalFormatting>
  <dataValidations count="2">
    <dataValidation type="list" allowBlank="1" showInputMessage="1" showErrorMessage="1" sqref="V5:V6" xr:uid="{126F9DC7-7ADE-4415-A062-4698BBCCD9B0}">
      <formula1>"Sim, Não"</formula1>
    </dataValidation>
    <dataValidation type="list" allowBlank="1" showInputMessage="1" showErrorMessage="1" sqref="W5:W6" xr:uid="{A6C1FB4B-A7F6-40DB-906F-601E76B6EA53}">
      <formula1>"-, 2 Vias, 3 Vias, 4 Vias(off), 5 Vias(off)"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22:L24 R22:R24 Q22:Q24 L25:L32 Q25:Q32 J58 E54:F64 E66:G67 J63:J67 J23:K32 I33 R25:R33 D22:D33 G54:G57 I54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E88C776-9C1D-425F-AF4A-3B0E4BC952DB}">
          <x14:formula1>
            <xm:f>Módulo!$A$1:$A$6</xm:f>
          </x14:formula1>
          <xm:sqref>D49</xm:sqref>
        </x14:dataValidation>
        <x14:dataValidation type="list" allowBlank="1" showInputMessage="1" showErrorMessage="1" xr:uid="{5AF89D92-02DB-4B75-9252-5BDEC8B5F73C}">
          <x14:formula1>
            <xm:f>'Tabela 42 Agrupamento'!$B$3:$B$7</xm:f>
          </x14:formula1>
          <xm:sqref>U5:U6</xm:sqref>
        </x14:dataValidation>
        <x14:dataValidation type="list" allowBlank="1" showInputMessage="1" showErrorMessage="1" xr:uid="{1394ED79-2A6A-4848-BDC7-8E3A6F530E24}">
          <x14:formula1>
            <xm:f>'Tabela 40 Temperatura'!$U$2:$U$3</xm:f>
          </x14:formula1>
          <xm:sqref>Q5:Q6</xm:sqref>
        </x14:dataValidation>
        <x14:dataValidation type="list" allowBlank="1" showInputMessage="1" showErrorMessage="1" xr:uid="{900A3B65-6E2B-4373-B85F-0E82065B604B}">
          <x14:formula1>
            <xm:f>'Tabela 40 Temperatura'!$A$3:$A$16</xm:f>
          </x14:formula1>
          <xm:sqref>R5:R6</xm:sqref>
        </x14:dataValidation>
        <x14:dataValidation type="list" allowBlank="1" showInputMessage="1" showErrorMessage="1" xr:uid="{2E8DD11E-AEC7-46E5-9142-A19D6DE3F263}">
          <x14:formula1>
            <xm:f>'Tabela 40 Temperatura'!$V$2:$V$3</xm:f>
          </x14:formula1>
          <xm:sqref>S5:S6</xm:sqref>
        </x14:dataValidation>
        <x14:dataValidation type="list" allowBlank="1" showInputMessage="1" showErrorMessage="1" xr:uid="{6628D724-6304-4C78-AF3E-0FB642F5941E}">
          <x14:formula1>
            <xm:f>'Tabela 37 EPR'!$B$5:$M$5</xm:f>
          </x14:formula1>
          <xm:sqref>X5:X6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U33"/>
  <sheetViews>
    <sheetView showGridLines="0" topLeftCell="A10" workbookViewId="0">
      <selection activeCell="O15" sqref="O15"/>
    </sheetView>
  </sheetViews>
  <sheetFormatPr defaultRowHeight="15" x14ac:dyDescent="0.25"/>
  <cols>
    <col min="1" max="1" width="1.5703125" style="21" customWidth="1"/>
    <col min="2" max="3" width="36.7109375" style="21" bestFit="1" customWidth="1"/>
    <col min="4" max="4" width="7.5703125" style="21" bestFit="1" customWidth="1"/>
    <col min="5" max="5" width="8" style="21" bestFit="1" customWidth="1"/>
    <col min="6" max="6" width="9.7109375" style="21" bestFit="1" customWidth="1"/>
    <col min="7" max="7" width="9.140625" style="21"/>
    <col min="8" max="8" width="1.85546875" style="21" customWidth="1"/>
    <col min="9" max="9" width="9.140625" style="21" customWidth="1"/>
    <col min="10" max="10" width="2" style="21" customWidth="1"/>
    <col min="11" max="11" width="16.5703125" style="21" bestFit="1" customWidth="1"/>
    <col min="12" max="12" width="41" style="21" bestFit="1" customWidth="1"/>
    <col min="13" max="13" width="7.5703125" style="21" bestFit="1" customWidth="1"/>
    <col min="14" max="14" width="2" style="21" bestFit="1" customWidth="1"/>
    <col min="15" max="15" width="10" style="21" bestFit="1" customWidth="1"/>
    <col min="16" max="16" width="9.7109375" style="21" bestFit="1" customWidth="1"/>
    <col min="17" max="17" width="1.85546875" style="21" customWidth="1"/>
    <col min="18" max="18" width="9.140625" style="21"/>
    <col min="19" max="19" width="12.140625" style="21" bestFit="1" customWidth="1"/>
    <col min="20" max="20" width="18.85546875" style="21" bestFit="1" customWidth="1"/>
    <col min="21" max="21" width="17.42578125" style="21" bestFit="1" customWidth="1"/>
    <col min="22" max="22" width="9.140625" style="21"/>
    <col min="23" max="23" width="17.42578125" style="21" bestFit="1" customWidth="1"/>
    <col min="24" max="16384" width="9.140625" style="21"/>
  </cols>
  <sheetData>
    <row r="1" spans="1:21" ht="14.25" customHeight="1" thickBot="1" x14ac:dyDescent="0.3">
      <c r="A1" s="45"/>
      <c r="B1" s="45"/>
      <c r="C1" s="45"/>
      <c r="D1" s="45"/>
      <c r="E1" s="45"/>
      <c r="F1" s="45"/>
      <c r="G1" s="45"/>
      <c r="H1" s="45"/>
      <c r="J1" s="46"/>
      <c r="K1" s="46"/>
      <c r="L1" s="46"/>
      <c r="M1" s="46"/>
      <c r="N1" s="46"/>
      <c r="O1" s="46"/>
      <c r="P1" s="46"/>
      <c r="Q1" s="46"/>
    </row>
    <row r="2" spans="1:21" ht="15.75" thickBot="1" x14ac:dyDescent="0.3">
      <c r="A2" s="45"/>
      <c r="B2" s="506" t="s">
        <v>46</v>
      </c>
      <c r="C2" s="507"/>
      <c r="D2" s="507"/>
      <c r="E2" s="507"/>
      <c r="F2" s="507"/>
      <c r="G2" s="508"/>
      <c r="H2" s="47"/>
      <c r="J2" s="46"/>
      <c r="K2" s="509" t="s">
        <v>47</v>
      </c>
      <c r="L2" s="510"/>
      <c r="M2" s="510"/>
      <c r="N2" s="510"/>
      <c r="O2" s="510"/>
      <c r="P2" s="511"/>
      <c r="Q2" s="48"/>
      <c r="S2" s="497" t="s">
        <v>44</v>
      </c>
      <c r="T2" s="498"/>
      <c r="U2" s="499"/>
    </row>
    <row r="3" spans="1:21" ht="15.75" thickBot="1" x14ac:dyDescent="0.3">
      <c r="A3" s="45"/>
      <c r="B3" s="49"/>
      <c r="C3" s="45"/>
      <c r="D3" s="45"/>
      <c r="E3" s="45"/>
      <c r="F3" s="45"/>
      <c r="G3" s="50"/>
      <c r="H3" s="45"/>
      <c r="J3" s="46"/>
      <c r="K3" s="51"/>
      <c r="L3" s="46"/>
      <c r="M3" s="46"/>
      <c r="N3" s="46"/>
      <c r="O3" s="46"/>
      <c r="P3" s="52"/>
      <c r="Q3" s="46"/>
      <c r="S3" s="53" t="s">
        <v>43</v>
      </c>
      <c r="T3" s="53" t="s">
        <v>41</v>
      </c>
      <c r="U3" s="53" t="s">
        <v>42</v>
      </c>
    </row>
    <row r="4" spans="1:21" ht="18.75" x14ac:dyDescent="0.35">
      <c r="A4" s="45"/>
      <c r="B4" s="503" t="s">
        <v>27</v>
      </c>
      <c r="C4" s="54" t="s">
        <v>0</v>
      </c>
      <c r="D4" s="55" t="s">
        <v>1</v>
      </c>
      <c r="E4" s="54" t="s">
        <v>5</v>
      </c>
      <c r="F4" s="126">
        <v>1.7850000000000001E-2</v>
      </c>
      <c r="G4" s="56" t="s">
        <v>2</v>
      </c>
      <c r="H4" s="45"/>
      <c r="J4" s="46"/>
      <c r="K4" s="512" t="s">
        <v>27</v>
      </c>
      <c r="L4" s="57" t="s">
        <v>0</v>
      </c>
      <c r="M4" s="58" t="s">
        <v>1</v>
      </c>
      <c r="N4" s="57" t="s">
        <v>5</v>
      </c>
      <c r="O4" s="131">
        <v>1.7850000000000001E-2</v>
      </c>
      <c r="P4" s="59" t="s">
        <v>2</v>
      </c>
      <c r="Q4" s="46"/>
      <c r="S4" s="60">
        <v>1.5</v>
      </c>
      <c r="T4" s="60">
        <v>14.813700000000001</v>
      </c>
      <c r="U4" s="60">
        <v>0.13780000000000001</v>
      </c>
    </row>
    <row r="5" spans="1:21" ht="18.75" thickBot="1" x14ac:dyDescent="0.4">
      <c r="A5" s="45"/>
      <c r="B5" s="504"/>
      <c r="C5" s="61" t="s">
        <v>3</v>
      </c>
      <c r="D5" s="62" t="s">
        <v>4</v>
      </c>
      <c r="E5" s="61" t="s">
        <v>5</v>
      </c>
      <c r="F5" s="127">
        <v>3.8999999999999998E-3</v>
      </c>
      <c r="G5" s="63" t="s">
        <v>6</v>
      </c>
      <c r="H5" s="45"/>
      <c r="J5" s="46"/>
      <c r="K5" s="513"/>
      <c r="L5" s="64" t="s">
        <v>3</v>
      </c>
      <c r="M5" s="65" t="s">
        <v>4</v>
      </c>
      <c r="N5" s="64" t="s">
        <v>5</v>
      </c>
      <c r="O5" s="132">
        <v>3.8999999999999998E-3</v>
      </c>
      <c r="P5" s="66" t="s">
        <v>6</v>
      </c>
      <c r="Q5" s="46"/>
      <c r="S5" s="60">
        <v>2.5</v>
      </c>
      <c r="T5" s="60">
        <v>8.8881999999999994</v>
      </c>
      <c r="U5" s="60">
        <v>0.13450000000000001</v>
      </c>
    </row>
    <row r="6" spans="1:21" ht="15.75" thickBot="1" x14ac:dyDescent="0.3">
      <c r="A6" s="45"/>
      <c r="B6" s="49"/>
      <c r="C6" s="45"/>
      <c r="D6" s="45"/>
      <c r="E6" s="45"/>
      <c r="F6" s="67"/>
      <c r="G6" s="50"/>
      <c r="H6" s="45"/>
      <c r="J6" s="46"/>
      <c r="K6" s="51"/>
      <c r="L6" s="46"/>
      <c r="M6" s="46"/>
      <c r="N6" s="46"/>
      <c r="O6" s="68"/>
      <c r="P6" s="52"/>
      <c r="Q6" s="46"/>
      <c r="S6" s="60">
        <v>4</v>
      </c>
      <c r="T6" s="60">
        <v>5.5518000000000001</v>
      </c>
      <c r="U6" s="60">
        <v>0.12790000000000001</v>
      </c>
    </row>
    <row r="7" spans="1:21" ht="18" x14ac:dyDescent="0.35">
      <c r="A7" s="45"/>
      <c r="B7" s="503" t="s">
        <v>18</v>
      </c>
      <c r="C7" s="54" t="s">
        <v>19</v>
      </c>
      <c r="D7" s="55" t="s">
        <v>22</v>
      </c>
      <c r="E7" s="54" t="s">
        <v>5</v>
      </c>
      <c r="F7" s="69">
        <f>Dimensionamento!P22</f>
        <v>72.899999999999991</v>
      </c>
      <c r="G7" s="56" t="s">
        <v>10</v>
      </c>
      <c r="H7" s="45"/>
      <c r="J7" s="46"/>
      <c r="K7" s="512" t="s">
        <v>18</v>
      </c>
      <c r="L7" s="57" t="s">
        <v>19</v>
      </c>
      <c r="M7" s="58" t="s">
        <v>22</v>
      </c>
      <c r="N7" s="57" t="s">
        <v>5</v>
      </c>
      <c r="O7" s="70">
        <v>50</v>
      </c>
      <c r="P7" s="59" t="s">
        <v>10</v>
      </c>
      <c r="Q7" s="46"/>
      <c r="S7" s="60">
        <v>6</v>
      </c>
      <c r="T7" s="60">
        <v>3.7035</v>
      </c>
      <c r="U7" s="60">
        <v>0.1225</v>
      </c>
    </row>
    <row r="8" spans="1:21" ht="18" x14ac:dyDescent="0.35">
      <c r="A8" s="45"/>
      <c r="B8" s="505"/>
      <c r="C8" s="45" t="s">
        <v>20</v>
      </c>
      <c r="D8" s="71" t="s">
        <v>21</v>
      </c>
      <c r="E8" s="45" t="s">
        <v>5</v>
      </c>
      <c r="F8" s="349">
        <f>Dimensionamento!L22</f>
        <v>10.14</v>
      </c>
      <c r="G8" s="50" t="s">
        <v>11</v>
      </c>
      <c r="H8" s="45"/>
      <c r="J8" s="46"/>
      <c r="K8" s="514"/>
      <c r="L8" s="46" t="s">
        <v>20</v>
      </c>
      <c r="M8" s="73" t="s">
        <v>21</v>
      </c>
      <c r="N8" s="46" t="s">
        <v>5</v>
      </c>
      <c r="O8" s="420">
        <v>18.2</v>
      </c>
      <c r="P8" s="52" t="s">
        <v>11</v>
      </c>
      <c r="Q8" s="46"/>
      <c r="S8" s="60">
        <v>10</v>
      </c>
      <c r="T8" s="60">
        <v>2.2221000000000002</v>
      </c>
      <c r="U8" s="60">
        <v>0.1207</v>
      </c>
    </row>
    <row r="9" spans="1:21" ht="18" x14ac:dyDescent="0.35">
      <c r="A9" s="45"/>
      <c r="B9" s="505"/>
      <c r="C9" s="45" t="s">
        <v>45</v>
      </c>
      <c r="D9" s="71" t="s">
        <v>24</v>
      </c>
      <c r="E9" s="45" t="s">
        <v>5</v>
      </c>
      <c r="F9" s="72">
        <v>500</v>
      </c>
      <c r="G9" s="50" t="s">
        <v>14</v>
      </c>
      <c r="H9" s="45"/>
      <c r="J9" s="46"/>
      <c r="K9" s="514"/>
      <c r="L9" s="46" t="s">
        <v>23</v>
      </c>
      <c r="M9" s="73" t="s">
        <v>24</v>
      </c>
      <c r="N9" s="46" t="s">
        <v>5</v>
      </c>
      <c r="O9" s="74">
        <v>220</v>
      </c>
      <c r="P9" s="52" t="s">
        <v>14</v>
      </c>
      <c r="Q9" s="46"/>
      <c r="S9" s="60">
        <v>16</v>
      </c>
      <c r="T9" s="60">
        <v>1.3898999999999999</v>
      </c>
      <c r="U9" s="60">
        <v>0.1173</v>
      </c>
    </row>
    <row r="10" spans="1:21" ht="18" x14ac:dyDescent="0.35">
      <c r="A10" s="45"/>
      <c r="B10" s="505"/>
      <c r="C10" s="45" t="s">
        <v>12</v>
      </c>
      <c r="D10" s="71" t="s">
        <v>25</v>
      </c>
      <c r="E10" s="45" t="s">
        <v>5</v>
      </c>
      <c r="F10" s="72">
        <v>4</v>
      </c>
      <c r="G10" s="50" t="s">
        <v>13</v>
      </c>
      <c r="H10" s="45"/>
      <c r="J10" s="46"/>
      <c r="K10" s="514"/>
      <c r="L10" s="46" t="s">
        <v>12</v>
      </c>
      <c r="M10" s="73" t="s">
        <v>25</v>
      </c>
      <c r="N10" s="46" t="s">
        <v>5</v>
      </c>
      <c r="O10" s="420">
        <v>25</v>
      </c>
      <c r="P10" s="52" t="s">
        <v>13</v>
      </c>
      <c r="Q10" s="46"/>
      <c r="S10" s="60">
        <v>25</v>
      </c>
      <c r="T10" s="60">
        <v>0.8891</v>
      </c>
      <c r="U10" s="60">
        <v>0.1164</v>
      </c>
    </row>
    <row r="11" spans="1:21" ht="18.75" thickBot="1" x14ac:dyDescent="0.4">
      <c r="A11" s="45"/>
      <c r="B11" s="504"/>
      <c r="C11" s="61" t="s">
        <v>28</v>
      </c>
      <c r="D11" s="62" t="s">
        <v>30</v>
      </c>
      <c r="E11" s="61" t="s">
        <v>5</v>
      </c>
      <c r="F11" s="75">
        <v>45</v>
      </c>
      <c r="G11" s="63" t="s">
        <v>7</v>
      </c>
      <c r="H11" s="45"/>
      <c r="J11" s="46"/>
      <c r="K11" s="513"/>
      <c r="L11" s="64" t="s">
        <v>28</v>
      </c>
      <c r="M11" s="65" t="s">
        <v>30</v>
      </c>
      <c r="N11" s="64" t="s">
        <v>5</v>
      </c>
      <c r="O11" s="76">
        <v>45</v>
      </c>
      <c r="P11" s="66" t="s">
        <v>7</v>
      </c>
      <c r="Q11" s="46"/>
      <c r="S11" s="60">
        <v>35</v>
      </c>
      <c r="T11" s="60">
        <v>0.63529999999999998</v>
      </c>
      <c r="U11" s="60">
        <v>0.1128</v>
      </c>
    </row>
    <row r="12" spans="1:21" ht="15.75" thickBot="1" x14ac:dyDescent="0.3">
      <c r="A12" s="45"/>
      <c r="B12" s="49"/>
      <c r="C12" s="45"/>
      <c r="D12" s="45"/>
      <c r="E12" s="45"/>
      <c r="F12" s="45"/>
      <c r="G12" s="50"/>
      <c r="H12" s="45"/>
      <c r="J12" s="46"/>
      <c r="K12" s="51"/>
      <c r="L12" s="46"/>
      <c r="M12" s="46"/>
      <c r="N12" s="46"/>
      <c r="O12" s="46"/>
      <c r="P12" s="52"/>
      <c r="Q12" s="46"/>
      <c r="S12" s="60">
        <v>50</v>
      </c>
      <c r="T12" s="60">
        <v>0.44500000000000001</v>
      </c>
      <c r="U12" s="60">
        <v>0.11269999999999999</v>
      </c>
    </row>
    <row r="13" spans="1:21" ht="18" x14ac:dyDescent="0.35">
      <c r="A13" s="45"/>
      <c r="B13" s="503" t="s">
        <v>26</v>
      </c>
      <c r="C13" s="54" t="s">
        <v>29</v>
      </c>
      <c r="D13" s="55" t="s">
        <v>8</v>
      </c>
      <c r="E13" s="54" t="s">
        <v>5</v>
      </c>
      <c r="F13" s="128">
        <f>F4*(1+F5*(F11-20))</f>
        <v>1.9590375E-2</v>
      </c>
      <c r="G13" s="77" t="s">
        <v>2</v>
      </c>
      <c r="H13" s="78"/>
      <c r="J13" s="46"/>
      <c r="K13" s="512" t="s">
        <v>26</v>
      </c>
      <c r="L13" s="57" t="s">
        <v>29</v>
      </c>
      <c r="M13" s="58" t="s">
        <v>8</v>
      </c>
      <c r="N13" s="57" t="s">
        <v>5</v>
      </c>
      <c r="O13" s="133">
        <f>O4*(1+O5*(O11-20))</f>
        <v>1.9590375E-2</v>
      </c>
      <c r="P13" s="79" t="s">
        <v>2</v>
      </c>
      <c r="Q13" s="80"/>
      <c r="S13" s="60">
        <v>70</v>
      </c>
      <c r="T13" s="60">
        <v>0.31840000000000002</v>
      </c>
      <c r="U13" s="60">
        <v>0.1096</v>
      </c>
    </row>
    <row r="14" spans="1:21" ht="18" x14ac:dyDescent="0.35">
      <c r="A14" s="45"/>
      <c r="B14" s="505"/>
      <c r="C14" s="45" t="s">
        <v>16</v>
      </c>
      <c r="D14" s="81" t="s">
        <v>17</v>
      </c>
      <c r="E14" s="45" t="s">
        <v>5</v>
      </c>
      <c r="F14" s="129">
        <f>(200*F13*F7*F8)/(F10*F9)</f>
        <v>1.448132274225</v>
      </c>
      <c r="G14" s="50" t="s">
        <v>31</v>
      </c>
      <c r="H14" s="45"/>
      <c r="J14" s="46"/>
      <c r="K14" s="514"/>
      <c r="L14" s="46" t="s">
        <v>16</v>
      </c>
      <c r="M14" s="82" t="s">
        <v>17</v>
      </c>
      <c r="N14" s="46" t="s">
        <v>5</v>
      </c>
      <c r="O14" s="134">
        <f>(100*SQRT(3)*O13*O7*O8)/(O10*O9)</f>
        <v>0.56141250188704916</v>
      </c>
      <c r="P14" s="52" t="s">
        <v>31</v>
      </c>
      <c r="Q14" s="46"/>
      <c r="S14" s="60">
        <v>95</v>
      </c>
      <c r="T14" s="60">
        <v>0.23519999999999999</v>
      </c>
      <c r="U14" s="60">
        <v>0.109</v>
      </c>
    </row>
    <row r="15" spans="1:21" ht="15.75" thickBot="1" x14ac:dyDescent="0.3">
      <c r="A15" s="45"/>
      <c r="B15" s="504"/>
      <c r="C15" s="61" t="s">
        <v>15</v>
      </c>
      <c r="D15" s="83" t="s">
        <v>9</v>
      </c>
      <c r="E15" s="61" t="s">
        <v>5</v>
      </c>
      <c r="F15" s="130">
        <f>F9*F14/100</f>
        <v>7.2406613711249994</v>
      </c>
      <c r="G15" s="63" t="s">
        <v>14</v>
      </c>
      <c r="H15" s="45"/>
      <c r="J15" s="46"/>
      <c r="K15" s="513"/>
      <c r="L15" s="64" t="s">
        <v>15</v>
      </c>
      <c r="M15" s="84" t="s">
        <v>9</v>
      </c>
      <c r="N15" s="64" t="s">
        <v>5</v>
      </c>
      <c r="O15" s="135">
        <f>O9*O14/100</f>
        <v>1.2351075041515081</v>
      </c>
      <c r="P15" s="66" t="s">
        <v>14</v>
      </c>
      <c r="Q15" s="46"/>
      <c r="S15" s="60">
        <v>120</v>
      </c>
      <c r="T15" s="60">
        <v>0.18679999999999999</v>
      </c>
      <c r="U15" s="60">
        <v>0.1076</v>
      </c>
    </row>
    <row r="16" spans="1:21" x14ac:dyDescent="0.25">
      <c r="A16" s="45"/>
      <c r="B16" s="45"/>
      <c r="C16" s="45"/>
      <c r="D16" s="45"/>
      <c r="E16" s="45"/>
      <c r="F16" s="45"/>
      <c r="G16" s="45"/>
      <c r="H16" s="45"/>
      <c r="J16" s="46"/>
      <c r="K16" s="46"/>
      <c r="L16" s="46"/>
      <c r="M16" s="46"/>
      <c r="N16" s="46"/>
      <c r="O16" s="46"/>
      <c r="P16" s="46"/>
      <c r="Q16" s="46"/>
      <c r="S16" s="60">
        <v>150</v>
      </c>
      <c r="T16" s="60">
        <v>0.1502</v>
      </c>
      <c r="U16" s="60">
        <v>0.1074</v>
      </c>
    </row>
    <row r="17" spans="10:21" x14ac:dyDescent="0.25">
      <c r="S17" s="60">
        <v>185</v>
      </c>
      <c r="T17" s="60">
        <v>0.1226</v>
      </c>
      <c r="U17" s="60">
        <v>0.10730000000000001</v>
      </c>
    </row>
    <row r="18" spans="10:21" ht="15.75" thickBot="1" x14ac:dyDescent="0.3">
      <c r="J18" s="85"/>
      <c r="K18" s="85"/>
      <c r="L18" s="85"/>
      <c r="M18" s="85"/>
      <c r="N18" s="85"/>
      <c r="O18" s="85"/>
      <c r="P18" s="85"/>
      <c r="Q18" s="85"/>
      <c r="S18" s="60">
        <v>240</v>
      </c>
      <c r="T18" s="60">
        <v>9.5799999999999996E-2</v>
      </c>
      <c r="U18" s="60">
        <v>0.107</v>
      </c>
    </row>
    <row r="19" spans="10:21" ht="15.75" thickBot="1" x14ac:dyDescent="0.3">
      <c r="J19" s="85"/>
      <c r="K19" s="494" t="s">
        <v>48</v>
      </c>
      <c r="L19" s="495"/>
      <c r="M19" s="495"/>
      <c r="N19" s="495"/>
      <c r="O19" s="495"/>
      <c r="P19" s="496"/>
      <c r="Q19" s="86"/>
      <c r="S19" s="60">
        <v>300</v>
      </c>
      <c r="T19" s="60">
        <v>7.8100000000000003E-2</v>
      </c>
      <c r="U19" s="60">
        <v>0.10680000000000001</v>
      </c>
    </row>
    <row r="20" spans="10:21" ht="15.75" thickBot="1" x14ac:dyDescent="0.3">
      <c r="J20" s="85"/>
      <c r="K20" s="87"/>
      <c r="L20" s="85"/>
      <c r="M20" s="85"/>
      <c r="N20" s="85"/>
      <c r="O20" s="85"/>
      <c r="P20" s="88"/>
      <c r="Q20" s="85"/>
      <c r="S20" s="60">
        <v>400</v>
      </c>
      <c r="T20" s="60">
        <v>6.08E-2</v>
      </c>
      <c r="U20" s="60">
        <v>0.10580000000000001</v>
      </c>
    </row>
    <row r="21" spans="10:21" ht="18" x14ac:dyDescent="0.35">
      <c r="J21" s="85"/>
      <c r="K21" s="500" t="s">
        <v>18</v>
      </c>
      <c r="L21" s="89" t="s">
        <v>12</v>
      </c>
      <c r="M21" s="90" t="s">
        <v>25</v>
      </c>
      <c r="N21" s="89" t="s">
        <v>5</v>
      </c>
      <c r="O21" s="91">
        <v>50</v>
      </c>
      <c r="P21" s="92" t="s">
        <v>13</v>
      </c>
      <c r="Q21" s="85"/>
      <c r="S21" s="60">
        <v>500</v>
      </c>
      <c r="T21" s="60">
        <v>5.0700000000000002E-2</v>
      </c>
      <c r="U21" s="60">
        <v>0.1051</v>
      </c>
    </row>
    <row r="22" spans="10:21" ht="18" x14ac:dyDescent="0.35">
      <c r="J22" s="85"/>
      <c r="K22" s="501"/>
      <c r="L22" s="85" t="s">
        <v>34</v>
      </c>
      <c r="M22" s="93" t="s">
        <v>35</v>
      </c>
      <c r="N22" s="85" t="s">
        <v>5</v>
      </c>
      <c r="O22" s="94">
        <v>0.44500000000000001</v>
      </c>
      <c r="P22" s="88" t="s">
        <v>38</v>
      </c>
      <c r="Q22" s="85"/>
      <c r="S22" s="60">
        <v>630</v>
      </c>
      <c r="T22" s="60">
        <v>2.92E-2</v>
      </c>
      <c r="U22" s="60">
        <v>0.1042</v>
      </c>
    </row>
    <row r="23" spans="10:21" ht="18" x14ac:dyDescent="0.35">
      <c r="J23" s="85"/>
      <c r="K23" s="501"/>
      <c r="L23" s="85" t="s">
        <v>36</v>
      </c>
      <c r="M23" s="93" t="s">
        <v>37</v>
      </c>
      <c r="N23" s="85" t="s">
        <v>5</v>
      </c>
      <c r="O23" s="94">
        <v>0.11269999999999999</v>
      </c>
      <c r="P23" s="88" t="s">
        <v>38</v>
      </c>
      <c r="Q23" s="85"/>
    </row>
    <row r="24" spans="10:21" ht="18" x14ac:dyDescent="0.35">
      <c r="J24" s="85"/>
      <c r="K24" s="501"/>
      <c r="L24" s="85" t="s">
        <v>19</v>
      </c>
      <c r="M24" s="93" t="s">
        <v>22</v>
      </c>
      <c r="N24" s="85" t="s">
        <v>5</v>
      </c>
      <c r="O24" s="94">
        <v>8</v>
      </c>
      <c r="P24" s="88" t="s">
        <v>10</v>
      </c>
      <c r="Q24" s="85"/>
    </row>
    <row r="25" spans="10:21" ht="18" x14ac:dyDescent="0.35">
      <c r="J25" s="85"/>
      <c r="K25" s="501"/>
      <c r="L25" s="85" t="s">
        <v>20</v>
      </c>
      <c r="M25" s="93" t="s">
        <v>21</v>
      </c>
      <c r="N25" s="85" t="s">
        <v>5</v>
      </c>
      <c r="O25" s="94">
        <v>133.69999999999999</v>
      </c>
      <c r="P25" s="88" t="s">
        <v>11</v>
      </c>
      <c r="Q25" s="85"/>
    </row>
    <row r="26" spans="10:21" ht="18" x14ac:dyDescent="0.35">
      <c r="J26" s="85"/>
      <c r="K26" s="501"/>
      <c r="L26" s="85" t="s">
        <v>23</v>
      </c>
      <c r="M26" s="93" t="s">
        <v>24</v>
      </c>
      <c r="N26" s="85" t="s">
        <v>5</v>
      </c>
      <c r="O26" s="94">
        <v>380</v>
      </c>
      <c r="P26" s="88" t="s">
        <v>14</v>
      </c>
      <c r="Q26" s="85"/>
    </row>
    <row r="27" spans="10:21" ht="18" x14ac:dyDescent="0.35">
      <c r="J27" s="85"/>
      <c r="K27" s="501"/>
      <c r="L27" s="85" t="s">
        <v>28</v>
      </c>
      <c r="M27" s="93" t="s">
        <v>30</v>
      </c>
      <c r="N27" s="85" t="s">
        <v>5</v>
      </c>
      <c r="O27" s="94">
        <v>45</v>
      </c>
      <c r="P27" s="88" t="s">
        <v>7</v>
      </c>
      <c r="Q27" s="85"/>
    </row>
    <row r="28" spans="10:21" ht="18" x14ac:dyDescent="0.35">
      <c r="J28" s="85"/>
      <c r="K28" s="501"/>
      <c r="L28" s="85" t="s">
        <v>32</v>
      </c>
      <c r="M28" s="93" t="s">
        <v>33</v>
      </c>
      <c r="N28" s="85" t="s">
        <v>5</v>
      </c>
      <c r="O28" s="94">
        <v>1</v>
      </c>
      <c r="P28" s="88"/>
      <c r="Q28" s="85"/>
    </row>
    <row r="29" spans="10:21" ht="15.75" thickBot="1" x14ac:dyDescent="0.3">
      <c r="J29" s="85"/>
      <c r="K29" s="502"/>
      <c r="L29" s="95" t="s">
        <v>39</v>
      </c>
      <c r="M29" s="96" t="s">
        <v>40</v>
      </c>
      <c r="N29" s="95" t="s">
        <v>5</v>
      </c>
      <c r="O29" s="97">
        <v>1</v>
      </c>
      <c r="P29" s="98"/>
      <c r="Q29" s="85"/>
    </row>
    <row r="30" spans="10:21" ht="15.75" thickBot="1" x14ac:dyDescent="0.3">
      <c r="J30" s="85"/>
      <c r="K30" s="87"/>
      <c r="L30" s="85"/>
      <c r="M30" s="85"/>
      <c r="N30" s="85"/>
      <c r="O30" s="85"/>
      <c r="P30" s="88"/>
      <c r="Q30" s="85"/>
    </row>
    <row r="31" spans="10:21" ht="18" x14ac:dyDescent="0.35">
      <c r="J31" s="85"/>
      <c r="K31" s="500" t="s">
        <v>26</v>
      </c>
      <c r="L31" s="89" t="s">
        <v>16</v>
      </c>
      <c r="M31" s="99" t="s">
        <v>17</v>
      </c>
      <c r="N31" s="89" t="s">
        <v>5</v>
      </c>
      <c r="O31" s="136">
        <f>(SQRT(3)*O25*O24*(O22*O29+O23*SIN(ACOS(O29))))/(10*O28*O26)</f>
        <v>0.216949391310572</v>
      </c>
      <c r="P31" s="92" t="s">
        <v>31</v>
      </c>
      <c r="Q31" s="85"/>
    </row>
    <row r="32" spans="10:21" ht="15.75" thickBot="1" x14ac:dyDescent="0.3">
      <c r="J32" s="85"/>
      <c r="K32" s="502"/>
      <c r="L32" s="95" t="s">
        <v>15</v>
      </c>
      <c r="M32" s="100" t="s">
        <v>9</v>
      </c>
      <c r="N32" s="95" t="s">
        <v>5</v>
      </c>
      <c r="O32" s="137">
        <f>O26*O31/100</f>
        <v>0.82440768698017364</v>
      </c>
      <c r="P32" s="98" t="s">
        <v>14</v>
      </c>
      <c r="Q32" s="85"/>
    </row>
    <row r="33" spans="10:17" x14ac:dyDescent="0.25">
      <c r="J33" s="85"/>
      <c r="K33" s="85"/>
      <c r="L33" s="85"/>
      <c r="M33" s="85"/>
      <c r="N33" s="85"/>
      <c r="O33" s="85"/>
      <c r="P33" s="85"/>
      <c r="Q33" s="85"/>
    </row>
  </sheetData>
  <mergeCells count="12">
    <mergeCell ref="K19:P19"/>
    <mergeCell ref="S2:U2"/>
    <mergeCell ref="K21:K29"/>
    <mergeCell ref="K31:K32"/>
    <mergeCell ref="B4:B5"/>
    <mergeCell ref="B7:B11"/>
    <mergeCell ref="B13:B15"/>
    <mergeCell ref="B2:G2"/>
    <mergeCell ref="K2:P2"/>
    <mergeCell ref="K4:K5"/>
    <mergeCell ref="K7:K11"/>
    <mergeCell ref="K13:K15"/>
  </mergeCells>
  <conditionalFormatting sqref="F14">
    <cfRule type="cellIs" dxfId="24" priority="5" operator="greaterThan">
      <formula>1.5</formula>
    </cfRule>
  </conditionalFormatting>
  <conditionalFormatting sqref="O14">
    <cfRule type="cellIs" dxfId="23" priority="4" operator="greaterThan">
      <formula>1.5</formula>
    </cfRule>
  </conditionalFormatting>
  <conditionalFormatting sqref="O31">
    <cfRule type="cellIs" dxfId="22" priority="1" operator="greaterThan">
      <formula>1.5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14"/>
  <sheetViews>
    <sheetView showGridLines="0" workbookViewId="0">
      <selection activeCell="E13" sqref="E13"/>
    </sheetView>
  </sheetViews>
  <sheetFormatPr defaultRowHeight="15" x14ac:dyDescent="0.25"/>
  <cols>
    <col min="1" max="1" width="16.5703125" bestFit="1" customWidth="1"/>
    <col min="2" max="2" width="36.7109375" bestFit="1" customWidth="1"/>
    <col min="3" max="3" width="7.5703125" bestFit="1" customWidth="1"/>
    <col min="4" max="4" width="2" bestFit="1" customWidth="1"/>
    <col min="5" max="5" width="8" bestFit="1" customWidth="1"/>
  </cols>
  <sheetData>
    <row r="1" spans="1:6" ht="15.75" thickBot="1" x14ac:dyDescent="0.3">
      <c r="A1" s="518" t="s">
        <v>47</v>
      </c>
      <c r="B1" s="519"/>
      <c r="C1" s="519"/>
      <c r="D1" s="519"/>
      <c r="E1" s="519"/>
      <c r="F1" s="520"/>
    </row>
    <row r="2" spans="1:6" ht="15.75" thickBot="1" x14ac:dyDescent="0.3"/>
    <row r="3" spans="1:6" ht="18.75" x14ac:dyDescent="0.35">
      <c r="A3" s="515" t="s">
        <v>27</v>
      </c>
      <c r="B3" s="4" t="s">
        <v>0</v>
      </c>
      <c r="C3" s="5" t="s">
        <v>1</v>
      </c>
      <c r="D3" s="4" t="s">
        <v>5</v>
      </c>
      <c r="E3" s="19">
        <v>1.7850000000000001E-2</v>
      </c>
      <c r="F3" s="6" t="s">
        <v>2</v>
      </c>
    </row>
    <row r="4" spans="1:6" ht="18.75" thickBot="1" x14ac:dyDescent="0.4">
      <c r="A4" s="516"/>
      <c r="B4" s="9" t="s">
        <v>3</v>
      </c>
      <c r="C4" s="10" t="s">
        <v>4</v>
      </c>
      <c r="D4" s="9" t="s">
        <v>5</v>
      </c>
      <c r="E4" s="20">
        <v>3.8999999999999998E-3</v>
      </c>
      <c r="F4" s="11" t="s">
        <v>6</v>
      </c>
    </row>
    <row r="5" spans="1:6" ht="15.75" thickBot="1" x14ac:dyDescent="0.3">
      <c r="E5" s="1"/>
    </row>
    <row r="6" spans="1:6" ht="18" x14ac:dyDescent="0.35">
      <c r="A6" s="515" t="s">
        <v>18</v>
      </c>
      <c r="B6" s="4" t="s">
        <v>19</v>
      </c>
      <c r="C6" s="5" t="s">
        <v>22</v>
      </c>
      <c r="D6" s="4" t="s">
        <v>5</v>
      </c>
      <c r="E6" s="12"/>
      <c r="F6" s="6" t="s">
        <v>10</v>
      </c>
    </row>
    <row r="7" spans="1:6" ht="18" x14ac:dyDescent="0.35">
      <c r="A7" s="517"/>
      <c r="B7" t="s">
        <v>20</v>
      </c>
      <c r="C7" s="7" t="s">
        <v>21</v>
      </c>
      <c r="D7" t="s">
        <v>5</v>
      </c>
      <c r="E7" s="13"/>
      <c r="F7" s="8" t="s">
        <v>11</v>
      </c>
    </row>
    <row r="8" spans="1:6" ht="18" x14ac:dyDescent="0.35">
      <c r="A8" s="517"/>
      <c r="B8" t="s">
        <v>23</v>
      </c>
      <c r="C8" s="7" t="s">
        <v>24</v>
      </c>
      <c r="D8" t="s">
        <v>5</v>
      </c>
      <c r="E8" s="13"/>
      <c r="F8" s="8" t="s">
        <v>14</v>
      </c>
    </row>
    <row r="9" spans="1:6" ht="18" x14ac:dyDescent="0.35">
      <c r="A9" s="517"/>
      <c r="B9" t="s">
        <v>12</v>
      </c>
      <c r="C9" s="7" t="s">
        <v>25</v>
      </c>
      <c r="D9" t="s">
        <v>5</v>
      </c>
      <c r="E9" s="13"/>
      <c r="F9" s="8" t="s">
        <v>13</v>
      </c>
    </row>
    <row r="10" spans="1:6" ht="18.75" thickBot="1" x14ac:dyDescent="0.4">
      <c r="A10" s="516"/>
      <c r="B10" s="9" t="s">
        <v>28</v>
      </c>
      <c r="C10" s="10" t="s">
        <v>30</v>
      </c>
      <c r="D10" s="9" t="s">
        <v>5</v>
      </c>
      <c r="E10" s="14"/>
      <c r="F10" s="11" t="s">
        <v>7</v>
      </c>
    </row>
    <row r="11" spans="1:6" ht="15.75" thickBot="1" x14ac:dyDescent="0.3"/>
    <row r="12" spans="1:6" ht="18" x14ac:dyDescent="0.35">
      <c r="A12" s="515" t="s">
        <v>26</v>
      </c>
      <c r="B12" s="4" t="s">
        <v>29</v>
      </c>
      <c r="C12" s="5" t="s">
        <v>8</v>
      </c>
      <c r="D12" s="4" t="s">
        <v>5</v>
      </c>
      <c r="E12" s="4">
        <f>E3*(1+E4*(E10-20))</f>
        <v>1.6457700000000002E-2</v>
      </c>
      <c r="F12" s="17" t="s">
        <v>2</v>
      </c>
    </row>
    <row r="13" spans="1:6" ht="18" x14ac:dyDescent="0.35">
      <c r="A13" s="517"/>
      <c r="B13" t="s">
        <v>16</v>
      </c>
      <c r="C13" s="18" t="s">
        <v>17</v>
      </c>
      <c r="D13" t="s">
        <v>5</v>
      </c>
      <c r="E13" t="e">
        <f>(100*SQRT(3)*E12*E6*E7)/(E9*E8)</f>
        <v>#DIV/0!</v>
      </c>
      <c r="F13" s="8" t="s">
        <v>31</v>
      </c>
    </row>
    <row r="14" spans="1:6" ht="15.75" thickBot="1" x14ac:dyDescent="0.3">
      <c r="A14" s="516"/>
      <c r="B14" s="9" t="s">
        <v>15</v>
      </c>
      <c r="C14" s="16" t="s">
        <v>9</v>
      </c>
      <c r="D14" s="9" t="s">
        <v>5</v>
      </c>
      <c r="E14" s="9" t="e">
        <f>E8*E13/100</f>
        <v>#DIV/0!</v>
      </c>
      <c r="F14" s="11" t="s">
        <v>14</v>
      </c>
    </row>
  </sheetData>
  <mergeCells count="4">
    <mergeCell ref="A3:A4"/>
    <mergeCell ref="A6:A10"/>
    <mergeCell ref="A12:A14"/>
    <mergeCell ref="A1:F1"/>
  </mergeCells>
  <conditionalFormatting sqref="E13">
    <cfRule type="cellIs" dxfId="21" priority="1" operator="greaterThan">
      <formula>4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L22"/>
  <sheetViews>
    <sheetView showGridLines="0" workbookViewId="0">
      <selection sqref="A1:L22"/>
    </sheetView>
  </sheetViews>
  <sheetFormatPr defaultRowHeight="15" x14ac:dyDescent="0.25"/>
  <cols>
    <col min="1" max="1" width="16.5703125" bestFit="1" customWidth="1"/>
    <col min="2" max="2" width="41" bestFit="1" customWidth="1"/>
    <col min="3" max="3" width="7.5703125" bestFit="1" customWidth="1"/>
    <col min="4" max="4" width="2" bestFit="1" customWidth="1"/>
    <col min="5" max="5" width="8" bestFit="1" customWidth="1"/>
    <col min="10" max="10" width="12.140625" bestFit="1" customWidth="1"/>
    <col min="11" max="11" width="18.85546875" bestFit="1" customWidth="1"/>
    <col min="12" max="12" width="17.42578125" bestFit="1" customWidth="1"/>
  </cols>
  <sheetData>
    <row r="1" spans="1:12" ht="15.75" thickBot="1" x14ac:dyDescent="0.3">
      <c r="A1" s="518" t="s">
        <v>48</v>
      </c>
      <c r="B1" s="519"/>
      <c r="C1" s="519"/>
      <c r="D1" s="519"/>
      <c r="E1" s="519"/>
      <c r="F1" s="520"/>
    </row>
    <row r="2" spans="1:12" ht="15.75" thickBot="1" x14ac:dyDescent="0.3">
      <c r="J2" s="521" t="s">
        <v>44</v>
      </c>
      <c r="K2" s="522"/>
      <c r="L2" s="523"/>
    </row>
    <row r="3" spans="1:12" ht="18" x14ac:dyDescent="0.35">
      <c r="A3" s="515" t="s">
        <v>18</v>
      </c>
      <c r="B3" s="4" t="s">
        <v>12</v>
      </c>
      <c r="C3" s="5" t="s">
        <v>25</v>
      </c>
      <c r="D3" s="4" t="s">
        <v>5</v>
      </c>
      <c r="E3" s="12"/>
      <c r="F3" s="6" t="s">
        <v>13</v>
      </c>
      <c r="J3" s="3" t="s">
        <v>43</v>
      </c>
      <c r="K3" s="3" t="s">
        <v>41</v>
      </c>
      <c r="L3" s="3" t="s">
        <v>42</v>
      </c>
    </row>
    <row r="4" spans="1:12" ht="18" x14ac:dyDescent="0.35">
      <c r="A4" s="517"/>
      <c r="B4" t="s">
        <v>34</v>
      </c>
      <c r="C4" s="7" t="s">
        <v>35</v>
      </c>
      <c r="D4" t="s">
        <v>5</v>
      </c>
      <c r="E4" s="13"/>
      <c r="F4" s="8" t="s">
        <v>38</v>
      </c>
      <c r="J4" s="2">
        <v>1.5</v>
      </c>
      <c r="K4" s="2">
        <v>14.813700000000001</v>
      </c>
      <c r="L4" s="2">
        <v>0.13780000000000001</v>
      </c>
    </row>
    <row r="5" spans="1:12" ht="18" x14ac:dyDescent="0.35">
      <c r="A5" s="517"/>
      <c r="B5" t="s">
        <v>36</v>
      </c>
      <c r="C5" s="7" t="s">
        <v>37</v>
      </c>
      <c r="D5" t="s">
        <v>5</v>
      </c>
      <c r="E5" s="13"/>
      <c r="F5" s="8" t="s">
        <v>38</v>
      </c>
      <c r="J5" s="2">
        <v>2.5</v>
      </c>
      <c r="K5" s="2">
        <v>8.8881999999999994</v>
      </c>
      <c r="L5" s="2">
        <v>0.13450000000000001</v>
      </c>
    </row>
    <row r="6" spans="1:12" ht="18" x14ac:dyDescent="0.35">
      <c r="A6" s="517"/>
      <c r="B6" t="s">
        <v>19</v>
      </c>
      <c r="C6" s="7" t="s">
        <v>22</v>
      </c>
      <c r="D6" t="s">
        <v>5</v>
      </c>
      <c r="E6" s="13"/>
      <c r="F6" s="8" t="s">
        <v>10</v>
      </c>
      <c r="J6" s="2">
        <v>4</v>
      </c>
      <c r="K6" s="2">
        <v>5.5518000000000001</v>
      </c>
      <c r="L6" s="2">
        <v>0.12790000000000001</v>
      </c>
    </row>
    <row r="7" spans="1:12" ht="18" x14ac:dyDescent="0.35">
      <c r="A7" s="517"/>
      <c r="B7" t="s">
        <v>20</v>
      </c>
      <c r="C7" s="7" t="s">
        <v>21</v>
      </c>
      <c r="D7" t="s">
        <v>5</v>
      </c>
      <c r="E7" s="13"/>
      <c r="F7" s="8" t="s">
        <v>11</v>
      </c>
      <c r="J7" s="2">
        <v>6</v>
      </c>
      <c r="K7" s="2">
        <v>3.7035</v>
      </c>
      <c r="L7" s="2">
        <v>0.1225</v>
      </c>
    </row>
    <row r="8" spans="1:12" ht="18" x14ac:dyDescent="0.35">
      <c r="A8" s="517"/>
      <c r="B8" t="s">
        <v>23</v>
      </c>
      <c r="C8" s="7" t="s">
        <v>24</v>
      </c>
      <c r="D8" t="s">
        <v>5</v>
      </c>
      <c r="E8" s="13"/>
      <c r="F8" s="8" t="s">
        <v>14</v>
      </c>
      <c r="J8" s="2">
        <v>10</v>
      </c>
      <c r="K8" s="2">
        <v>2.2221000000000002</v>
      </c>
      <c r="L8" s="2">
        <v>0.1207</v>
      </c>
    </row>
    <row r="9" spans="1:12" ht="18" x14ac:dyDescent="0.35">
      <c r="A9" s="517"/>
      <c r="B9" t="s">
        <v>28</v>
      </c>
      <c r="C9" s="7" t="s">
        <v>30</v>
      </c>
      <c r="D9" t="s">
        <v>5</v>
      </c>
      <c r="E9" s="13"/>
      <c r="F9" s="8" t="s">
        <v>7</v>
      </c>
      <c r="J9" s="2">
        <v>16</v>
      </c>
      <c r="K9" s="2">
        <v>1.3898999999999999</v>
      </c>
      <c r="L9" s="2">
        <v>0.1173</v>
      </c>
    </row>
    <row r="10" spans="1:12" ht="18" x14ac:dyDescent="0.35">
      <c r="A10" s="517"/>
      <c r="B10" t="s">
        <v>32</v>
      </c>
      <c r="C10" s="7" t="s">
        <v>33</v>
      </c>
      <c r="D10" t="s">
        <v>5</v>
      </c>
      <c r="E10" s="13"/>
      <c r="F10" s="8"/>
      <c r="J10" s="2">
        <v>25</v>
      </c>
      <c r="K10" s="2">
        <v>0.8891</v>
      </c>
      <c r="L10" s="2">
        <v>0.1164</v>
      </c>
    </row>
    <row r="11" spans="1:12" ht="15.75" thickBot="1" x14ac:dyDescent="0.3">
      <c r="A11" s="516"/>
      <c r="B11" s="9" t="s">
        <v>39</v>
      </c>
      <c r="C11" s="10" t="s">
        <v>40</v>
      </c>
      <c r="D11" s="9" t="s">
        <v>5</v>
      </c>
      <c r="E11" s="14"/>
      <c r="F11" s="11"/>
      <c r="J11" s="2">
        <v>35</v>
      </c>
      <c r="K11" s="2">
        <v>0.63529999999999998</v>
      </c>
      <c r="L11" s="2">
        <v>0.1128</v>
      </c>
    </row>
    <row r="12" spans="1:12" ht="15.75" thickBot="1" x14ac:dyDescent="0.3">
      <c r="J12" s="2">
        <v>50</v>
      </c>
      <c r="K12" s="2">
        <v>0.44500000000000001</v>
      </c>
      <c r="L12" s="2">
        <v>0.11269999999999999</v>
      </c>
    </row>
    <row r="13" spans="1:12" ht="18" x14ac:dyDescent="0.35">
      <c r="A13" s="515" t="s">
        <v>26</v>
      </c>
      <c r="B13" s="4" t="s">
        <v>16</v>
      </c>
      <c r="C13" s="15" t="s">
        <v>17</v>
      </c>
      <c r="D13" s="4" t="s">
        <v>5</v>
      </c>
      <c r="E13" s="4" t="e">
        <f>(SQRT(3)*E7*E6*(E4*E11+E5*SIN(ACOS(E11))))/(10*E10*E8)</f>
        <v>#DIV/0!</v>
      </c>
      <c r="F13" s="6" t="s">
        <v>31</v>
      </c>
      <c r="J13" s="2">
        <v>70</v>
      </c>
      <c r="K13" s="2">
        <v>0.31840000000000002</v>
      </c>
      <c r="L13" s="2">
        <v>0.1096</v>
      </c>
    </row>
    <row r="14" spans="1:12" ht="15.75" thickBot="1" x14ac:dyDescent="0.3">
      <c r="A14" s="516"/>
      <c r="B14" s="9" t="s">
        <v>15</v>
      </c>
      <c r="C14" s="16" t="s">
        <v>9</v>
      </c>
      <c r="D14" s="9" t="s">
        <v>5</v>
      </c>
      <c r="E14" s="9" t="e">
        <f>E8*E13/100</f>
        <v>#DIV/0!</v>
      </c>
      <c r="F14" s="11" t="s">
        <v>14</v>
      </c>
      <c r="J14" s="2">
        <v>95</v>
      </c>
      <c r="K14" s="2">
        <v>0.23519999999999999</v>
      </c>
      <c r="L14" s="2">
        <v>0.109</v>
      </c>
    </row>
    <row r="15" spans="1:12" x14ac:dyDescent="0.25">
      <c r="J15" s="2">
        <v>120</v>
      </c>
      <c r="K15" s="2">
        <v>0.18679999999999999</v>
      </c>
      <c r="L15" s="2">
        <v>0.1076</v>
      </c>
    </row>
    <row r="16" spans="1:12" x14ac:dyDescent="0.25">
      <c r="J16" s="2">
        <v>150</v>
      </c>
      <c r="K16" s="2">
        <v>0.1502</v>
      </c>
      <c r="L16" s="2">
        <v>0.1074</v>
      </c>
    </row>
    <row r="17" spans="10:12" x14ac:dyDescent="0.25">
      <c r="J17" s="2">
        <v>185</v>
      </c>
      <c r="K17" s="2">
        <v>0.1226</v>
      </c>
      <c r="L17" s="2">
        <v>0.10730000000000001</v>
      </c>
    </row>
    <row r="18" spans="10:12" x14ac:dyDescent="0.25">
      <c r="J18" s="2">
        <v>240</v>
      </c>
      <c r="K18" s="2">
        <v>9.5799999999999996E-2</v>
      </c>
      <c r="L18" s="2">
        <v>0.107</v>
      </c>
    </row>
    <row r="19" spans="10:12" x14ac:dyDescent="0.25">
      <c r="J19" s="2">
        <v>300</v>
      </c>
      <c r="K19" s="2">
        <v>7.8100000000000003E-2</v>
      </c>
      <c r="L19" s="2">
        <v>0.10680000000000001</v>
      </c>
    </row>
    <row r="20" spans="10:12" x14ac:dyDescent="0.25">
      <c r="J20" s="2">
        <v>400</v>
      </c>
      <c r="K20" s="2">
        <v>6.08E-2</v>
      </c>
      <c r="L20" s="2">
        <v>0.10580000000000001</v>
      </c>
    </row>
    <row r="21" spans="10:12" x14ac:dyDescent="0.25">
      <c r="J21" s="2">
        <v>500</v>
      </c>
      <c r="K21" s="2">
        <v>5.0700000000000002E-2</v>
      </c>
      <c r="L21" s="2">
        <v>0.1051</v>
      </c>
    </row>
    <row r="22" spans="10:12" x14ac:dyDescent="0.25">
      <c r="J22" s="2">
        <v>630</v>
      </c>
      <c r="K22" s="2">
        <v>2.92E-2</v>
      </c>
      <c r="L22" s="2">
        <v>0.1042</v>
      </c>
    </row>
  </sheetData>
  <mergeCells count="4">
    <mergeCell ref="J2:L2"/>
    <mergeCell ref="A3:A11"/>
    <mergeCell ref="A13:A14"/>
    <mergeCell ref="A1:F1"/>
  </mergeCells>
  <conditionalFormatting sqref="E13">
    <cfRule type="cellIs" dxfId="20" priority="1" operator="greaterThan">
      <formula>4</formula>
    </cfRule>
    <cfRule type="cellIs" dxfId="19" priority="2" operator="greaterThan">
      <formula>4</formula>
    </cfRule>
    <cfRule type="cellIs" dxfId="18" priority="3" operator="lessThan">
      <formula>4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theme="9" tint="0.39997558519241921"/>
  </sheetPr>
  <dimension ref="A1:U33"/>
  <sheetViews>
    <sheetView showGridLines="0" workbookViewId="0">
      <selection activeCell="O1" sqref="O1"/>
    </sheetView>
  </sheetViews>
  <sheetFormatPr defaultRowHeight="15" x14ac:dyDescent="0.25"/>
  <cols>
    <col min="1" max="1" width="1.42578125" style="21" customWidth="1"/>
    <col min="2" max="2" width="16.5703125" style="21" bestFit="1" customWidth="1"/>
    <col min="3" max="3" width="36.7109375" style="21" bestFit="1" customWidth="1"/>
    <col min="4" max="4" width="7.140625" style="21" bestFit="1" customWidth="1"/>
    <col min="5" max="5" width="2" style="21" bestFit="1" customWidth="1"/>
    <col min="6" max="6" width="10" style="21" bestFit="1" customWidth="1"/>
    <col min="7" max="7" width="9.7109375" style="21" bestFit="1" customWidth="1"/>
    <col min="8" max="8" width="3" style="21" customWidth="1"/>
    <col min="9" max="9" width="9.7109375" style="21" customWidth="1"/>
    <col min="10" max="10" width="2.42578125" style="21" customWidth="1"/>
    <col min="11" max="11" width="16.5703125" style="21" bestFit="1" customWidth="1"/>
    <col min="12" max="12" width="36.7109375" style="21" bestFit="1" customWidth="1"/>
    <col min="13" max="13" width="7.140625" style="21" bestFit="1" customWidth="1"/>
    <col min="14" max="14" width="2" style="21" bestFit="1" customWidth="1"/>
    <col min="15" max="15" width="9.140625" style="21"/>
    <col min="16" max="16" width="9.7109375" style="21" bestFit="1" customWidth="1"/>
    <col min="17" max="17" width="2.5703125" style="21" customWidth="1"/>
    <col min="18" max="18" width="9.140625" style="21"/>
    <col min="19" max="19" width="12.140625" style="21" bestFit="1" customWidth="1"/>
    <col min="20" max="20" width="18.85546875" style="21" bestFit="1" customWidth="1"/>
    <col min="21" max="21" width="17.42578125" style="21" bestFit="1" customWidth="1"/>
    <col min="22" max="16384" width="9.140625" style="21"/>
  </cols>
  <sheetData>
    <row r="1" spans="1:21" ht="15.75" thickBot="1" x14ac:dyDescent="0.3">
      <c r="A1" s="45"/>
      <c r="B1" s="45"/>
      <c r="C1" s="45"/>
      <c r="D1" s="45"/>
      <c r="E1" s="45"/>
      <c r="F1" s="45"/>
      <c r="G1" s="45"/>
      <c r="H1" s="45"/>
      <c r="J1" s="46"/>
      <c r="K1" s="46"/>
      <c r="L1" s="46"/>
      <c r="M1" s="46"/>
      <c r="N1" s="46"/>
      <c r="O1" s="46"/>
      <c r="P1" s="46"/>
      <c r="Q1" s="46"/>
    </row>
    <row r="2" spans="1:21" ht="15.75" thickBot="1" x14ac:dyDescent="0.3">
      <c r="A2" s="45"/>
      <c r="B2" s="506" t="s">
        <v>55</v>
      </c>
      <c r="C2" s="507"/>
      <c r="D2" s="507"/>
      <c r="E2" s="507"/>
      <c r="F2" s="507"/>
      <c r="G2" s="508"/>
      <c r="H2" s="47"/>
      <c r="J2" s="46"/>
      <c r="K2" s="509" t="s">
        <v>56</v>
      </c>
      <c r="L2" s="510"/>
      <c r="M2" s="510"/>
      <c r="N2" s="510"/>
      <c r="O2" s="510"/>
      <c r="P2" s="511"/>
      <c r="Q2" s="48"/>
      <c r="S2" s="497" t="s">
        <v>54</v>
      </c>
      <c r="T2" s="498"/>
      <c r="U2" s="499"/>
    </row>
    <row r="3" spans="1:21" ht="15.75" thickBot="1" x14ac:dyDescent="0.3">
      <c r="A3" s="45"/>
      <c r="B3" s="49"/>
      <c r="C3" s="45"/>
      <c r="D3" s="45"/>
      <c r="E3" s="45"/>
      <c r="F3" s="45"/>
      <c r="G3" s="50"/>
      <c r="H3" s="45"/>
      <c r="J3" s="46"/>
      <c r="K3" s="51"/>
      <c r="L3" s="46"/>
      <c r="M3" s="46"/>
      <c r="N3" s="46"/>
      <c r="O3" s="46"/>
      <c r="P3" s="52"/>
      <c r="Q3" s="46"/>
      <c r="S3" s="53" t="s">
        <v>43</v>
      </c>
      <c r="T3" s="53" t="s">
        <v>41</v>
      </c>
      <c r="U3" s="53" t="s">
        <v>42</v>
      </c>
    </row>
    <row r="4" spans="1:21" ht="18.75" x14ac:dyDescent="0.35">
      <c r="A4" s="45"/>
      <c r="B4" s="503" t="s">
        <v>27</v>
      </c>
      <c r="C4" s="54" t="s">
        <v>49</v>
      </c>
      <c r="D4" s="55" t="s">
        <v>50</v>
      </c>
      <c r="E4" s="54" t="s">
        <v>5</v>
      </c>
      <c r="F4" s="126">
        <v>2.86E-2</v>
      </c>
      <c r="G4" s="56" t="s">
        <v>2</v>
      </c>
      <c r="H4" s="45"/>
      <c r="J4" s="46"/>
      <c r="K4" s="512" t="s">
        <v>27</v>
      </c>
      <c r="L4" s="57" t="s">
        <v>52</v>
      </c>
      <c r="M4" s="58" t="s">
        <v>50</v>
      </c>
      <c r="N4" s="57" t="s">
        <v>5</v>
      </c>
      <c r="O4" s="131">
        <v>2.86E-2</v>
      </c>
      <c r="P4" s="59" t="s">
        <v>2</v>
      </c>
      <c r="Q4" s="46"/>
      <c r="S4" s="60">
        <v>1.5</v>
      </c>
      <c r="T4" s="60"/>
      <c r="U4" s="60">
        <v>0.13780000000000001</v>
      </c>
    </row>
    <row r="5" spans="1:21" ht="18.75" thickBot="1" x14ac:dyDescent="0.4">
      <c r="A5" s="45"/>
      <c r="B5" s="504"/>
      <c r="C5" s="61" t="s">
        <v>3</v>
      </c>
      <c r="D5" s="62" t="s">
        <v>51</v>
      </c>
      <c r="E5" s="61" t="s">
        <v>5</v>
      </c>
      <c r="F5" s="127">
        <v>3.8999999999999998E-3</v>
      </c>
      <c r="G5" s="63" t="s">
        <v>6</v>
      </c>
      <c r="H5" s="45"/>
      <c r="J5" s="46"/>
      <c r="K5" s="513"/>
      <c r="L5" s="64" t="s">
        <v>3</v>
      </c>
      <c r="M5" s="65" t="s">
        <v>51</v>
      </c>
      <c r="N5" s="64" t="s">
        <v>5</v>
      </c>
      <c r="O5" s="132">
        <v>3.8999999999999998E-3</v>
      </c>
      <c r="P5" s="66" t="s">
        <v>6</v>
      </c>
      <c r="Q5" s="46"/>
      <c r="S5" s="60">
        <v>2.5</v>
      </c>
      <c r="T5" s="60"/>
      <c r="U5" s="60">
        <v>0.13450000000000001</v>
      </c>
    </row>
    <row r="6" spans="1:21" ht="15.75" thickBot="1" x14ac:dyDescent="0.3">
      <c r="A6" s="45"/>
      <c r="B6" s="49"/>
      <c r="C6" s="45"/>
      <c r="D6" s="45"/>
      <c r="E6" s="45"/>
      <c r="F6" s="67"/>
      <c r="G6" s="50"/>
      <c r="H6" s="45"/>
      <c r="J6" s="46"/>
      <c r="K6" s="51"/>
      <c r="L6" s="46"/>
      <c r="M6" s="46"/>
      <c r="N6" s="46"/>
      <c r="O6" s="68"/>
      <c r="P6" s="52"/>
      <c r="Q6" s="46"/>
      <c r="S6" s="60">
        <v>4</v>
      </c>
      <c r="T6" s="60"/>
      <c r="U6" s="60">
        <v>0.12790000000000001</v>
      </c>
    </row>
    <row r="7" spans="1:21" ht="18" x14ac:dyDescent="0.35">
      <c r="A7" s="45"/>
      <c r="B7" s="503" t="s">
        <v>18</v>
      </c>
      <c r="C7" s="54" t="s">
        <v>19</v>
      </c>
      <c r="D7" s="55" t="s">
        <v>22</v>
      </c>
      <c r="E7" s="54" t="s">
        <v>5</v>
      </c>
      <c r="F7" s="69"/>
      <c r="G7" s="56" t="s">
        <v>10</v>
      </c>
      <c r="H7" s="45"/>
      <c r="J7" s="46"/>
      <c r="K7" s="512" t="s">
        <v>18</v>
      </c>
      <c r="L7" s="57" t="s">
        <v>19</v>
      </c>
      <c r="M7" s="58" t="s">
        <v>22</v>
      </c>
      <c r="N7" s="57" t="s">
        <v>5</v>
      </c>
      <c r="O7" s="70"/>
      <c r="P7" s="59" t="s">
        <v>10</v>
      </c>
      <c r="Q7" s="46"/>
      <c r="S7" s="60">
        <v>6</v>
      </c>
      <c r="T7" s="60"/>
      <c r="U7" s="60">
        <v>0.1225</v>
      </c>
    </row>
    <row r="8" spans="1:21" ht="18" x14ac:dyDescent="0.35">
      <c r="A8" s="45"/>
      <c r="B8" s="505"/>
      <c r="C8" s="45" t="s">
        <v>20</v>
      </c>
      <c r="D8" s="71" t="s">
        <v>21</v>
      </c>
      <c r="E8" s="45" t="s">
        <v>5</v>
      </c>
      <c r="F8" s="72"/>
      <c r="G8" s="50" t="s">
        <v>11</v>
      </c>
      <c r="H8" s="45"/>
      <c r="J8" s="46"/>
      <c r="K8" s="514"/>
      <c r="L8" s="46" t="s">
        <v>20</v>
      </c>
      <c r="M8" s="73" t="s">
        <v>21</v>
      </c>
      <c r="N8" s="46" t="s">
        <v>5</v>
      </c>
      <c r="O8" s="74"/>
      <c r="P8" s="52" t="s">
        <v>11</v>
      </c>
      <c r="Q8" s="46"/>
      <c r="S8" s="60">
        <v>10</v>
      </c>
      <c r="T8" s="60">
        <v>3.08</v>
      </c>
      <c r="U8" s="60">
        <v>0.1207</v>
      </c>
    </row>
    <row r="9" spans="1:21" ht="18" x14ac:dyDescent="0.35">
      <c r="A9" s="45"/>
      <c r="B9" s="505"/>
      <c r="C9" s="45" t="s">
        <v>45</v>
      </c>
      <c r="D9" s="71" t="s">
        <v>24</v>
      </c>
      <c r="E9" s="45" t="s">
        <v>5</v>
      </c>
      <c r="F9" s="72"/>
      <c r="G9" s="50" t="s">
        <v>14</v>
      </c>
      <c r="H9" s="45"/>
      <c r="J9" s="46"/>
      <c r="K9" s="514"/>
      <c r="L9" s="46" t="s">
        <v>23</v>
      </c>
      <c r="M9" s="73" t="s">
        <v>24</v>
      </c>
      <c r="N9" s="46" t="s">
        <v>5</v>
      </c>
      <c r="O9" s="74"/>
      <c r="P9" s="52" t="s">
        <v>14</v>
      </c>
      <c r="Q9" s="46"/>
      <c r="S9" s="60">
        <v>16</v>
      </c>
      <c r="T9" s="60">
        <v>1.91</v>
      </c>
      <c r="U9" s="60">
        <v>0.1173</v>
      </c>
    </row>
    <row r="10" spans="1:21" ht="18" x14ac:dyDescent="0.35">
      <c r="A10" s="45"/>
      <c r="B10" s="505"/>
      <c r="C10" s="45" t="s">
        <v>12</v>
      </c>
      <c r="D10" s="71" t="s">
        <v>25</v>
      </c>
      <c r="E10" s="45" t="s">
        <v>5</v>
      </c>
      <c r="F10" s="72"/>
      <c r="G10" s="50" t="s">
        <v>13</v>
      </c>
      <c r="H10" s="45"/>
      <c r="J10" s="46"/>
      <c r="K10" s="514"/>
      <c r="L10" s="46" t="s">
        <v>12</v>
      </c>
      <c r="M10" s="73" t="s">
        <v>25</v>
      </c>
      <c r="N10" s="46" t="s">
        <v>5</v>
      </c>
      <c r="O10" s="74"/>
      <c r="P10" s="52" t="s">
        <v>13</v>
      </c>
      <c r="Q10" s="46"/>
      <c r="S10" s="60">
        <v>25</v>
      </c>
      <c r="T10" s="60">
        <v>1.2</v>
      </c>
      <c r="U10" s="60">
        <v>0.1164</v>
      </c>
    </row>
    <row r="11" spans="1:21" ht="18.75" thickBot="1" x14ac:dyDescent="0.4">
      <c r="A11" s="45"/>
      <c r="B11" s="504"/>
      <c r="C11" s="61" t="s">
        <v>28</v>
      </c>
      <c r="D11" s="62" t="s">
        <v>30</v>
      </c>
      <c r="E11" s="61" t="s">
        <v>5</v>
      </c>
      <c r="F11" s="75"/>
      <c r="G11" s="63" t="s">
        <v>7</v>
      </c>
      <c r="H11" s="45"/>
      <c r="J11" s="46"/>
      <c r="K11" s="513"/>
      <c r="L11" s="64" t="s">
        <v>28</v>
      </c>
      <c r="M11" s="65" t="s">
        <v>30</v>
      </c>
      <c r="N11" s="64" t="s">
        <v>5</v>
      </c>
      <c r="O11" s="76"/>
      <c r="P11" s="66" t="s">
        <v>7</v>
      </c>
      <c r="Q11" s="46"/>
      <c r="S11" s="60">
        <v>35</v>
      </c>
      <c r="T11" s="60">
        <v>0.86799999999999999</v>
      </c>
      <c r="U11" s="60">
        <v>0.1128</v>
      </c>
    </row>
    <row r="12" spans="1:21" ht="15.75" thickBot="1" x14ac:dyDescent="0.3">
      <c r="A12" s="45"/>
      <c r="B12" s="49"/>
      <c r="C12" s="45"/>
      <c r="D12" s="45"/>
      <c r="E12" s="45"/>
      <c r="F12" s="45"/>
      <c r="G12" s="50"/>
      <c r="H12" s="45"/>
      <c r="J12" s="46"/>
      <c r="K12" s="51"/>
      <c r="L12" s="46"/>
      <c r="M12" s="46"/>
      <c r="N12" s="46"/>
      <c r="O12" s="46"/>
      <c r="P12" s="52"/>
      <c r="Q12" s="46"/>
      <c r="S12" s="60">
        <v>50</v>
      </c>
      <c r="T12" s="60">
        <v>0.64100000000000001</v>
      </c>
      <c r="U12" s="60">
        <v>0.11269999999999999</v>
      </c>
    </row>
    <row r="13" spans="1:21" ht="18" x14ac:dyDescent="0.35">
      <c r="A13" s="45"/>
      <c r="B13" s="503" t="s">
        <v>26</v>
      </c>
      <c r="C13" s="54" t="s">
        <v>53</v>
      </c>
      <c r="D13" s="55" t="s">
        <v>8</v>
      </c>
      <c r="E13" s="54" t="s">
        <v>5</v>
      </c>
      <c r="F13" s="128">
        <f>F4*(1+F5*(F11-20))</f>
        <v>2.6369200000000002E-2</v>
      </c>
      <c r="G13" s="77" t="s">
        <v>2</v>
      </c>
      <c r="H13" s="78"/>
      <c r="I13" s="101"/>
      <c r="J13" s="46"/>
      <c r="K13" s="512" t="s">
        <v>26</v>
      </c>
      <c r="L13" s="57" t="s">
        <v>53</v>
      </c>
      <c r="M13" s="58" t="s">
        <v>8</v>
      </c>
      <c r="N13" s="57" t="s">
        <v>5</v>
      </c>
      <c r="O13" s="133">
        <f>O4*(1+O5*(O11-20))</f>
        <v>2.6369200000000002E-2</v>
      </c>
      <c r="P13" s="79" t="s">
        <v>2</v>
      </c>
      <c r="Q13" s="80"/>
      <c r="S13" s="60">
        <v>70</v>
      </c>
      <c r="T13" s="60">
        <v>0.443</v>
      </c>
      <c r="U13" s="60">
        <v>0.1096</v>
      </c>
    </row>
    <row r="14" spans="1:21" ht="18" x14ac:dyDescent="0.35">
      <c r="A14" s="45"/>
      <c r="B14" s="505"/>
      <c r="C14" s="45" t="s">
        <v>16</v>
      </c>
      <c r="D14" s="81" t="s">
        <v>17</v>
      </c>
      <c r="E14" s="45" t="s">
        <v>5</v>
      </c>
      <c r="F14" s="129" t="e">
        <f>(200*F13*F7*F8)/(F10*F9)</f>
        <v>#DIV/0!</v>
      </c>
      <c r="G14" s="50" t="s">
        <v>31</v>
      </c>
      <c r="H14" s="45"/>
      <c r="J14" s="46"/>
      <c r="K14" s="514"/>
      <c r="L14" s="46" t="s">
        <v>16</v>
      </c>
      <c r="M14" s="82" t="s">
        <v>17</v>
      </c>
      <c r="N14" s="46" t="s">
        <v>5</v>
      </c>
      <c r="O14" s="134" t="e">
        <f>(100*SQRT(3)*O13*O7*O8)/(O10*O9)</f>
        <v>#DIV/0!</v>
      </c>
      <c r="P14" s="52" t="s">
        <v>31</v>
      </c>
      <c r="Q14" s="46"/>
      <c r="S14" s="60">
        <v>95</v>
      </c>
      <c r="T14" s="60">
        <v>0.32</v>
      </c>
      <c r="U14" s="60">
        <v>0.109</v>
      </c>
    </row>
    <row r="15" spans="1:21" ht="15.75" thickBot="1" x14ac:dyDescent="0.3">
      <c r="A15" s="45"/>
      <c r="B15" s="504"/>
      <c r="C15" s="61" t="s">
        <v>15</v>
      </c>
      <c r="D15" s="83" t="s">
        <v>9</v>
      </c>
      <c r="E15" s="61" t="s">
        <v>5</v>
      </c>
      <c r="F15" s="130" t="e">
        <f>F9*F14/100</f>
        <v>#DIV/0!</v>
      </c>
      <c r="G15" s="63" t="s">
        <v>14</v>
      </c>
      <c r="H15" s="45"/>
      <c r="J15" s="46"/>
      <c r="K15" s="513"/>
      <c r="L15" s="64" t="s">
        <v>15</v>
      </c>
      <c r="M15" s="84" t="s">
        <v>9</v>
      </c>
      <c r="N15" s="64" t="s">
        <v>5</v>
      </c>
      <c r="O15" s="135" t="e">
        <f>O9*O14/100</f>
        <v>#DIV/0!</v>
      </c>
      <c r="P15" s="66" t="s">
        <v>14</v>
      </c>
      <c r="Q15" s="46"/>
      <c r="S15" s="60">
        <v>120</v>
      </c>
      <c r="T15" s="60">
        <v>0.253</v>
      </c>
      <c r="U15" s="60">
        <v>0.1076</v>
      </c>
    </row>
    <row r="16" spans="1:21" x14ac:dyDescent="0.25">
      <c r="A16" s="45"/>
      <c r="B16" s="45"/>
      <c r="C16" s="45"/>
      <c r="D16" s="45"/>
      <c r="E16" s="45"/>
      <c r="F16" s="45"/>
      <c r="G16" s="45"/>
      <c r="H16" s="45"/>
      <c r="J16" s="46"/>
      <c r="K16" s="46"/>
      <c r="L16" s="46"/>
      <c r="M16" s="46"/>
      <c r="N16" s="46"/>
      <c r="O16" s="46"/>
      <c r="P16" s="46"/>
      <c r="Q16" s="46"/>
      <c r="S16" s="60">
        <v>150</v>
      </c>
      <c r="T16" s="60">
        <v>0.20599999999999999</v>
      </c>
      <c r="U16" s="60">
        <v>0.1074</v>
      </c>
    </row>
    <row r="17" spans="10:21" x14ac:dyDescent="0.25">
      <c r="S17" s="60">
        <v>185</v>
      </c>
      <c r="T17" s="60">
        <v>0.16400000000000001</v>
      </c>
      <c r="U17" s="60">
        <v>0.10730000000000001</v>
      </c>
    </row>
    <row r="18" spans="10:21" ht="15.75" thickBot="1" x14ac:dyDescent="0.3">
      <c r="J18" s="85"/>
      <c r="K18" s="85"/>
      <c r="L18" s="85"/>
      <c r="M18" s="85"/>
      <c r="N18" s="85"/>
      <c r="O18" s="85"/>
      <c r="P18" s="85"/>
      <c r="Q18" s="85"/>
      <c r="S18" s="60">
        <v>240</v>
      </c>
      <c r="T18" s="60">
        <v>0.125</v>
      </c>
      <c r="U18" s="60">
        <v>0.107</v>
      </c>
    </row>
    <row r="19" spans="10:21" ht="15.75" thickBot="1" x14ac:dyDescent="0.3">
      <c r="J19" s="85"/>
      <c r="K19" s="494" t="s">
        <v>57</v>
      </c>
      <c r="L19" s="495"/>
      <c r="M19" s="495"/>
      <c r="N19" s="495"/>
      <c r="O19" s="495"/>
      <c r="P19" s="496"/>
      <c r="Q19" s="86"/>
      <c r="S19" s="60">
        <v>300</v>
      </c>
      <c r="T19" s="60">
        <v>0.1</v>
      </c>
      <c r="U19" s="60">
        <v>0.10680000000000001</v>
      </c>
    </row>
    <row r="20" spans="10:21" ht="15.75" thickBot="1" x14ac:dyDescent="0.3">
      <c r="J20" s="85"/>
      <c r="K20" s="87"/>
      <c r="L20" s="85"/>
      <c r="M20" s="85"/>
      <c r="N20" s="85"/>
      <c r="O20" s="85"/>
      <c r="P20" s="88"/>
      <c r="Q20" s="85"/>
      <c r="S20" s="60">
        <v>400</v>
      </c>
      <c r="T20" s="60">
        <v>7.8E-2</v>
      </c>
      <c r="U20" s="60">
        <v>0.10580000000000001</v>
      </c>
    </row>
    <row r="21" spans="10:21" ht="18" x14ac:dyDescent="0.35">
      <c r="J21" s="85"/>
      <c r="K21" s="500" t="s">
        <v>18</v>
      </c>
      <c r="L21" s="89" t="s">
        <v>12</v>
      </c>
      <c r="M21" s="90" t="s">
        <v>25</v>
      </c>
      <c r="N21" s="89" t="s">
        <v>5</v>
      </c>
      <c r="O21" s="91"/>
      <c r="P21" s="92" t="s">
        <v>13</v>
      </c>
      <c r="Q21" s="85"/>
      <c r="S21" s="60">
        <v>500</v>
      </c>
      <c r="T21" s="60">
        <v>6.0999999999999999E-2</v>
      </c>
      <c r="U21" s="60">
        <v>0.1051</v>
      </c>
    </row>
    <row r="22" spans="10:21" ht="18" x14ac:dyDescent="0.35">
      <c r="J22" s="85"/>
      <c r="K22" s="501"/>
      <c r="L22" s="85" t="s">
        <v>34</v>
      </c>
      <c r="M22" s="93" t="s">
        <v>35</v>
      </c>
      <c r="N22" s="85" t="s">
        <v>5</v>
      </c>
      <c r="O22" s="94"/>
      <c r="P22" s="88" t="s">
        <v>38</v>
      </c>
      <c r="Q22" s="85"/>
      <c r="S22" s="60">
        <v>630</v>
      </c>
      <c r="T22" s="60"/>
      <c r="U22" s="60">
        <v>0.1042</v>
      </c>
    </row>
    <row r="23" spans="10:21" ht="18" x14ac:dyDescent="0.35">
      <c r="J23" s="85"/>
      <c r="K23" s="501"/>
      <c r="L23" s="85" t="s">
        <v>36</v>
      </c>
      <c r="M23" s="93" t="s">
        <v>37</v>
      </c>
      <c r="N23" s="85" t="s">
        <v>5</v>
      </c>
      <c r="O23" s="94"/>
      <c r="P23" s="88" t="s">
        <v>38</v>
      </c>
      <c r="Q23" s="85"/>
    </row>
    <row r="24" spans="10:21" ht="18" x14ac:dyDescent="0.35">
      <c r="J24" s="85"/>
      <c r="K24" s="501"/>
      <c r="L24" s="85" t="s">
        <v>19</v>
      </c>
      <c r="M24" s="93" t="s">
        <v>22</v>
      </c>
      <c r="N24" s="85" t="s">
        <v>5</v>
      </c>
      <c r="O24" s="94"/>
      <c r="P24" s="88" t="s">
        <v>10</v>
      </c>
      <c r="Q24" s="85"/>
    </row>
    <row r="25" spans="10:21" ht="18" x14ac:dyDescent="0.35">
      <c r="J25" s="85"/>
      <c r="K25" s="501"/>
      <c r="L25" s="85" t="s">
        <v>20</v>
      </c>
      <c r="M25" s="93" t="s">
        <v>21</v>
      </c>
      <c r="N25" s="85" t="s">
        <v>5</v>
      </c>
      <c r="O25" s="94"/>
      <c r="P25" s="88" t="s">
        <v>11</v>
      </c>
      <c r="Q25" s="85"/>
    </row>
    <row r="26" spans="10:21" ht="18" x14ac:dyDescent="0.35">
      <c r="J26" s="85"/>
      <c r="K26" s="501"/>
      <c r="L26" s="85" t="s">
        <v>23</v>
      </c>
      <c r="M26" s="93" t="s">
        <v>24</v>
      </c>
      <c r="N26" s="85" t="s">
        <v>5</v>
      </c>
      <c r="O26" s="94"/>
      <c r="P26" s="88" t="s">
        <v>14</v>
      </c>
      <c r="Q26" s="85"/>
    </row>
    <row r="27" spans="10:21" ht="18" x14ac:dyDescent="0.35">
      <c r="J27" s="85"/>
      <c r="K27" s="501"/>
      <c r="L27" s="85" t="s">
        <v>28</v>
      </c>
      <c r="M27" s="93" t="s">
        <v>30</v>
      </c>
      <c r="N27" s="85" t="s">
        <v>5</v>
      </c>
      <c r="O27" s="94"/>
      <c r="P27" s="88" t="s">
        <v>7</v>
      </c>
      <c r="Q27" s="85"/>
    </row>
    <row r="28" spans="10:21" ht="18" x14ac:dyDescent="0.35">
      <c r="J28" s="85"/>
      <c r="K28" s="501"/>
      <c r="L28" s="85" t="s">
        <v>32</v>
      </c>
      <c r="M28" s="93" t="s">
        <v>33</v>
      </c>
      <c r="N28" s="85" t="s">
        <v>5</v>
      </c>
      <c r="O28" s="94"/>
      <c r="P28" s="88"/>
      <c r="Q28" s="85"/>
    </row>
    <row r="29" spans="10:21" ht="15.75" thickBot="1" x14ac:dyDescent="0.3">
      <c r="J29" s="85"/>
      <c r="K29" s="502"/>
      <c r="L29" s="95" t="s">
        <v>39</v>
      </c>
      <c r="M29" s="96" t="s">
        <v>40</v>
      </c>
      <c r="N29" s="95" t="s">
        <v>5</v>
      </c>
      <c r="O29" s="97"/>
      <c r="P29" s="98"/>
      <c r="Q29" s="85"/>
    </row>
    <row r="30" spans="10:21" ht="15.75" thickBot="1" x14ac:dyDescent="0.3">
      <c r="J30" s="85"/>
      <c r="K30" s="87"/>
      <c r="L30" s="85"/>
      <c r="M30" s="85"/>
      <c r="N30" s="85"/>
      <c r="O30" s="85"/>
      <c r="P30" s="88"/>
      <c r="Q30" s="85"/>
    </row>
    <row r="31" spans="10:21" ht="18" x14ac:dyDescent="0.35">
      <c r="J31" s="85"/>
      <c r="K31" s="500" t="s">
        <v>26</v>
      </c>
      <c r="L31" s="89" t="s">
        <v>16</v>
      </c>
      <c r="M31" s="99" t="s">
        <v>17</v>
      </c>
      <c r="N31" s="89" t="s">
        <v>5</v>
      </c>
      <c r="O31" s="136" t="e">
        <f>(SQRT(3)*O25*O24*(O22*O29+O23*SIN(ACOS(O29))))/(10*O28*O26)</f>
        <v>#DIV/0!</v>
      </c>
      <c r="P31" s="92" t="s">
        <v>31</v>
      </c>
      <c r="Q31" s="85"/>
    </row>
    <row r="32" spans="10:21" ht="15.75" thickBot="1" x14ac:dyDescent="0.3">
      <c r="J32" s="85"/>
      <c r="K32" s="502"/>
      <c r="L32" s="95" t="s">
        <v>15</v>
      </c>
      <c r="M32" s="100" t="s">
        <v>9</v>
      </c>
      <c r="N32" s="95" t="s">
        <v>5</v>
      </c>
      <c r="O32" s="137" t="e">
        <f>O26*O31/100</f>
        <v>#DIV/0!</v>
      </c>
      <c r="P32" s="98" t="s">
        <v>14</v>
      </c>
      <c r="Q32" s="85"/>
    </row>
    <row r="33" spans="10:17" x14ac:dyDescent="0.25">
      <c r="J33" s="85"/>
      <c r="K33" s="85"/>
      <c r="L33" s="85"/>
      <c r="M33" s="85"/>
      <c r="N33" s="85"/>
      <c r="O33" s="85"/>
      <c r="P33" s="85"/>
      <c r="Q33" s="85"/>
    </row>
  </sheetData>
  <mergeCells count="12">
    <mergeCell ref="K31:K32"/>
    <mergeCell ref="K19:P19"/>
    <mergeCell ref="S2:U2"/>
    <mergeCell ref="K21:K29"/>
    <mergeCell ref="B2:G2"/>
    <mergeCell ref="B4:B5"/>
    <mergeCell ref="B7:B11"/>
    <mergeCell ref="B13:B15"/>
    <mergeCell ref="K2:P2"/>
    <mergeCell ref="K4:K5"/>
    <mergeCell ref="K7:K11"/>
    <mergeCell ref="K13:K15"/>
  </mergeCells>
  <conditionalFormatting sqref="F14">
    <cfRule type="cellIs" dxfId="17" priority="5" operator="greaterThan">
      <formula>1.5</formula>
    </cfRule>
  </conditionalFormatting>
  <conditionalFormatting sqref="O14">
    <cfRule type="cellIs" dxfId="16" priority="4" operator="greaterThan">
      <formula>1.5</formula>
    </cfRule>
  </conditionalFormatting>
  <conditionalFormatting sqref="O31">
    <cfRule type="cellIs" dxfId="15" priority="1" operator="greaterThan">
      <formula>1.5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1:AA22"/>
  <sheetViews>
    <sheetView topLeftCell="H4" zoomScale="90" zoomScaleNormal="90" workbookViewId="0">
      <selection activeCell="S8" sqref="S8"/>
    </sheetView>
  </sheetViews>
  <sheetFormatPr defaultRowHeight="15" x14ac:dyDescent="0.25"/>
  <cols>
    <col min="1" max="1" width="1.5703125" style="21" customWidth="1"/>
    <col min="2" max="2" width="12.140625" style="21" customWidth="1"/>
    <col min="3" max="3" width="17.28515625" style="21" customWidth="1"/>
    <col min="4" max="4" width="13.140625" style="21" customWidth="1"/>
    <col min="5" max="5" width="16.5703125" style="21" customWidth="1"/>
    <col min="6" max="6" width="13.5703125" style="21" customWidth="1"/>
    <col min="7" max="8" width="3.42578125" style="21" customWidth="1"/>
    <col min="9" max="9" width="7.28515625" style="21" customWidth="1"/>
    <col min="10" max="10" width="13" style="21" customWidth="1"/>
    <col min="11" max="11" width="12.28515625" style="21" customWidth="1"/>
    <col min="12" max="13" width="10.7109375" style="21" customWidth="1"/>
    <col min="14" max="14" width="9.140625" style="21"/>
    <col min="15" max="16" width="3.28515625" style="21" customWidth="1"/>
    <col min="17" max="17" width="17.28515625" style="21" customWidth="1"/>
    <col min="18" max="18" width="18.7109375" style="21" customWidth="1"/>
    <col min="19" max="19" width="17.42578125" style="21" customWidth="1"/>
    <col min="20" max="20" width="15.42578125" style="21" customWidth="1"/>
    <col min="21" max="21" width="13.85546875" style="21" bestFit="1" customWidth="1"/>
    <col min="22" max="22" width="11" style="21" customWidth="1"/>
    <col min="23" max="24" width="9.140625" style="21"/>
    <col min="25" max="25" width="13.85546875" style="21" customWidth="1"/>
    <col min="26" max="26" width="13.85546875" style="21" bestFit="1" customWidth="1"/>
    <col min="27" max="27" width="9.5703125" style="21" bestFit="1" customWidth="1"/>
    <col min="28" max="16384" width="9.140625" style="21"/>
  </cols>
  <sheetData>
    <row r="1" spans="2:27" ht="6.75" customHeight="1" thickBot="1" x14ac:dyDescent="0.3"/>
    <row r="2" spans="2:27" ht="19.5" thickBot="1" x14ac:dyDescent="0.35">
      <c r="B2" s="534" t="s">
        <v>83</v>
      </c>
      <c r="C2" s="535"/>
      <c r="D2" s="535"/>
      <c r="E2" s="535"/>
      <c r="F2" s="536"/>
      <c r="J2" s="483" t="s">
        <v>84</v>
      </c>
      <c r="K2" s="484"/>
      <c r="L2" s="484"/>
      <c r="M2" s="484"/>
      <c r="N2" s="485"/>
      <c r="R2" s="483" t="s">
        <v>68</v>
      </c>
      <c r="S2" s="484"/>
      <c r="T2" s="484"/>
      <c r="U2" s="484"/>
      <c r="V2" s="484"/>
      <c r="W2" s="484"/>
      <c r="X2" s="484"/>
      <c r="Y2" s="484"/>
      <c r="Z2" s="484"/>
      <c r="AA2" s="485"/>
    </row>
    <row r="3" spans="2:27" ht="15.75" thickBot="1" x14ac:dyDescent="0.3">
      <c r="B3" s="532" t="s">
        <v>72</v>
      </c>
      <c r="C3" s="530" t="s">
        <v>79</v>
      </c>
      <c r="D3" s="531"/>
      <c r="E3" s="530" t="s">
        <v>80</v>
      </c>
      <c r="F3" s="531"/>
      <c r="J3" s="529" t="s">
        <v>85</v>
      </c>
      <c r="K3" s="489"/>
      <c r="L3" s="529" t="s">
        <v>88</v>
      </c>
      <c r="M3" s="488"/>
      <c r="N3" s="489"/>
      <c r="R3" s="529" t="s">
        <v>90</v>
      </c>
      <c r="S3" s="488"/>
      <c r="T3" s="488"/>
      <c r="U3" s="488"/>
      <c r="V3" s="489"/>
      <c r="W3" s="524" t="s">
        <v>99</v>
      </c>
      <c r="X3" s="525"/>
      <c r="Y3" s="525"/>
      <c r="Z3" s="525"/>
      <c r="AA3" s="526"/>
    </row>
    <row r="4" spans="2:27" ht="30.75" thickBot="1" x14ac:dyDescent="0.3">
      <c r="B4" s="533"/>
      <c r="C4" s="138" t="s">
        <v>81</v>
      </c>
      <c r="D4" s="139" t="s">
        <v>82</v>
      </c>
      <c r="E4" s="138" t="s">
        <v>81</v>
      </c>
      <c r="F4" s="139" t="s">
        <v>82</v>
      </c>
      <c r="I4" s="103" t="s">
        <v>100</v>
      </c>
      <c r="J4" s="22" t="s">
        <v>86</v>
      </c>
      <c r="K4" s="26" t="s">
        <v>87</v>
      </c>
      <c r="L4" s="102" t="s">
        <v>93</v>
      </c>
      <c r="M4" s="104" t="s">
        <v>91</v>
      </c>
      <c r="N4" s="105" t="s">
        <v>92</v>
      </c>
      <c r="Q4" s="25" t="s">
        <v>81</v>
      </c>
      <c r="R4" s="25" t="s">
        <v>81</v>
      </c>
      <c r="S4" s="24" t="s">
        <v>96</v>
      </c>
      <c r="T4" s="24" t="s">
        <v>97</v>
      </c>
      <c r="U4" s="24" t="s">
        <v>103</v>
      </c>
      <c r="V4" s="106" t="s">
        <v>98</v>
      </c>
      <c r="W4" s="102" t="s">
        <v>102</v>
      </c>
      <c r="X4" s="104" t="s">
        <v>101</v>
      </c>
      <c r="Y4" s="104" t="s">
        <v>97</v>
      </c>
      <c r="Z4" s="104" t="s">
        <v>103</v>
      </c>
      <c r="AA4" s="105" t="s">
        <v>98</v>
      </c>
    </row>
    <row r="5" spans="2:27" x14ac:dyDescent="0.25">
      <c r="B5" s="140">
        <v>1.5</v>
      </c>
      <c r="C5" s="141">
        <v>2.9</v>
      </c>
      <c r="D5" s="142">
        <f>PI()*(C5^2)/4</f>
        <v>6.6051985541725404</v>
      </c>
      <c r="E5" s="141">
        <v>5.28</v>
      </c>
      <c r="F5" s="142">
        <f>PI()*(E5^2)/4</f>
        <v>21.895644158459426</v>
      </c>
      <c r="I5" s="107">
        <v>1.5</v>
      </c>
      <c r="J5" s="108"/>
      <c r="K5" s="109"/>
      <c r="L5" s="152">
        <f t="shared" ref="L5:L20" si="0">J5*D5</f>
        <v>0</v>
      </c>
      <c r="M5" s="153">
        <f t="shared" ref="M5:M20" si="1">K5*F5</f>
        <v>0</v>
      </c>
      <c r="N5" s="154">
        <f>L5+M5</f>
        <v>0</v>
      </c>
      <c r="Q5" s="163">
        <v>0.5</v>
      </c>
      <c r="R5" s="230"/>
      <c r="S5" s="164">
        <v>14.3</v>
      </c>
      <c r="T5" s="165">
        <f>PI()*(S5^2/4)</f>
        <v>160.6060704331442</v>
      </c>
      <c r="U5" s="165">
        <f>T5*0.4</f>
        <v>64.242428173257679</v>
      </c>
      <c r="V5" s="193">
        <f>$N$22/T5</f>
        <v>2.2171274878967191</v>
      </c>
      <c r="W5" s="166">
        <v>50</v>
      </c>
      <c r="X5" s="167">
        <v>50</v>
      </c>
      <c r="Y5" s="167">
        <f>W5*X5</f>
        <v>2500</v>
      </c>
      <c r="Z5" s="167">
        <f>Y5*0.4</f>
        <v>1000</v>
      </c>
      <c r="AA5" s="189">
        <f>$N$22/Y5</f>
        <v>0.14243365339216021</v>
      </c>
    </row>
    <row r="6" spans="2:27" x14ac:dyDescent="0.25">
      <c r="B6" s="143">
        <v>2.5</v>
      </c>
      <c r="C6" s="144">
        <v>3.54</v>
      </c>
      <c r="D6" s="145">
        <f>PI()*(C6^2)/4</f>
        <v>9.842295624431463</v>
      </c>
      <c r="E6" s="144">
        <v>5.74</v>
      </c>
      <c r="F6" s="145">
        <f>PI()*(E6^2)/4</f>
        <v>25.876984528353766</v>
      </c>
      <c r="I6" s="110">
        <v>2.5</v>
      </c>
      <c r="J6" s="111"/>
      <c r="K6" s="112"/>
      <c r="L6" s="155">
        <f t="shared" si="0"/>
        <v>0</v>
      </c>
      <c r="M6" s="156">
        <f t="shared" si="1"/>
        <v>0</v>
      </c>
      <c r="N6" s="157">
        <f>L6+M6</f>
        <v>0</v>
      </c>
      <c r="Q6" s="168">
        <v>0.75</v>
      </c>
      <c r="R6" s="231"/>
      <c r="S6" s="169">
        <v>18.7</v>
      </c>
      <c r="T6" s="156">
        <f t="shared" ref="T6:T15" si="2">PI()*(S6^2/4)</f>
        <v>274.64588375845369</v>
      </c>
      <c r="U6" s="156">
        <f t="shared" ref="U6:U15" si="3">T6*0.4</f>
        <v>109.85835350338148</v>
      </c>
      <c r="V6" s="194">
        <f t="shared" ref="V6:V15" si="4">$N$22/T6</f>
        <v>1.296520918527839</v>
      </c>
      <c r="W6" s="170">
        <v>100</v>
      </c>
      <c r="X6" s="2">
        <v>50</v>
      </c>
      <c r="Y6" s="2">
        <f t="shared" ref="Y6:Y12" si="5">W6*X6</f>
        <v>5000</v>
      </c>
      <c r="Z6" s="2">
        <f t="shared" ref="Z6:Z12" si="6">Y6*0.4</f>
        <v>2000</v>
      </c>
      <c r="AA6" s="190">
        <f t="shared" ref="AA6:AA12" si="7">$N$22/Y6</f>
        <v>7.1216826696080107E-2</v>
      </c>
    </row>
    <row r="7" spans="2:27" x14ac:dyDescent="0.25">
      <c r="B7" s="146">
        <v>4</v>
      </c>
      <c r="C7" s="147">
        <v>4.0199999999999996</v>
      </c>
      <c r="D7" s="148">
        <f>PI()*(C7^2)/4</f>
        <v>12.692348479768119</v>
      </c>
      <c r="E7" s="147">
        <v>6.42</v>
      </c>
      <c r="F7" s="148">
        <f t="shared" ref="F7:F20" si="8">PI()*(E7^2)/4</f>
        <v>32.371284861854591</v>
      </c>
      <c r="I7" s="113">
        <v>4</v>
      </c>
      <c r="J7" s="114"/>
      <c r="K7" s="115">
        <v>11</v>
      </c>
      <c r="L7" s="152">
        <f t="shared" si="0"/>
        <v>0</v>
      </c>
      <c r="M7" s="153">
        <f t="shared" si="1"/>
        <v>356.08413348040051</v>
      </c>
      <c r="N7" s="154">
        <f t="shared" ref="N7:N20" si="9">L7+M7</f>
        <v>356.08413348040051</v>
      </c>
      <c r="Q7" s="171">
        <v>1</v>
      </c>
      <c r="R7" s="232"/>
      <c r="S7" s="172">
        <v>24.8</v>
      </c>
      <c r="T7" s="173">
        <f t="shared" si="2"/>
        <v>483.05128641596667</v>
      </c>
      <c r="U7" s="173">
        <f t="shared" si="3"/>
        <v>193.22051456638667</v>
      </c>
      <c r="V7" s="195">
        <f t="shared" si="4"/>
        <v>0.73715595733610817</v>
      </c>
      <c r="W7" s="174">
        <v>100</v>
      </c>
      <c r="X7" s="175">
        <v>100</v>
      </c>
      <c r="Y7" s="175">
        <f t="shared" si="5"/>
        <v>10000</v>
      </c>
      <c r="Z7" s="175">
        <f t="shared" si="6"/>
        <v>4000</v>
      </c>
      <c r="AA7" s="191">
        <f t="shared" si="7"/>
        <v>3.5608413348040054E-2</v>
      </c>
    </row>
    <row r="8" spans="2:27" x14ac:dyDescent="0.25">
      <c r="B8" s="143">
        <v>6</v>
      </c>
      <c r="C8" s="144">
        <v>4.5999999999999996</v>
      </c>
      <c r="D8" s="145">
        <f>PI()*(C8^2)/4</f>
        <v>16.619025137490002</v>
      </c>
      <c r="E8" s="144">
        <v>6.96</v>
      </c>
      <c r="F8" s="145">
        <f t="shared" si="8"/>
        <v>38.045943672033829</v>
      </c>
      <c r="I8" s="110">
        <v>6</v>
      </c>
      <c r="J8" s="111"/>
      <c r="K8" s="112"/>
      <c r="L8" s="155">
        <f t="shared" si="0"/>
        <v>0</v>
      </c>
      <c r="M8" s="156">
        <f t="shared" si="1"/>
        <v>0</v>
      </c>
      <c r="N8" s="157">
        <f t="shared" si="9"/>
        <v>0</v>
      </c>
      <c r="Q8" s="168" t="s">
        <v>94</v>
      </c>
      <c r="R8" s="231">
        <v>41.3</v>
      </c>
      <c r="S8" s="169">
        <v>31.5</v>
      </c>
      <c r="T8" s="156">
        <f t="shared" si="2"/>
        <v>779.31132763111805</v>
      </c>
      <c r="U8" s="156">
        <f t="shared" si="3"/>
        <v>311.72453105244722</v>
      </c>
      <c r="V8" s="194">
        <f t="shared" si="4"/>
        <v>0.45692154195011347</v>
      </c>
      <c r="W8" s="170">
        <v>150</v>
      </c>
      <c r="X8" s="2">
        <v>75</v>
      </c>
      <c r="Y8" s="2">
        <f t="shared" si="5"/>
        <v>11250</v>
      </c>
      <c r="Z8" s="2">
        <f t="shared" si="6"/>
        <v>4500</v>
      </c>
      <c r="AA8" s="190">
        <f t="shared" si="7"/>
        <v>3.1651922976035599E-2</v>
      </c>
    </row>
    <row r="9" spans="2:27" x14ac:dyDescent="0.25">
      <c r="B9" s="146">
        <v>10</v>
      </c>
      <c r="C9" s="147">
        <v>5.93</v>
      </c>
      <c r="D9" s="148">
        <f t="shared" ref="D9:D20" si="10">PI()*(C9^2)/4</f>
        <v>27.618447876054926</v>
      </c>
      <c r="E9" s="147">
        <v>7.93</v>
      </c>
      <c r="F9" s="148">
        <f t="shared" si="8"/>
        <v>49.389684965432188</v>
      </c>
      <c r="I9" s="113">
        <v>10</v>
      </c>
      <c r="J9" s="114"/>
      <c r="K9" s="115"/>
      <c r="L9" s="158">
        <f t="shared" si="0"/>
        <v>0</v>
      </c>
      <c r="M9" s="153">
        <f t="shared" si="1"/>
        <v>0</v>
      </c>
      <c r="N9" s="154">
        <f t="shared" si="9"/>
        <v>0</v>
      </c>
      <c r="Q9" s="171" t="s">
        <v>95</v>
      </c>
      <c r="R9" s="232">
        <v>56</v>
      </c>
      <c r="S9" s="172">
        <v>43</v>
      </c>
      <c r="T9" s="173">
        <f t="shared" si="2"/>
        <v>1452.2012041218818</v>
      </c>
      <c r="U9" s="173">
        <f t="shared" si="3"/>
        <v>580.88048164875272</v>
      </c>
      <c r="V9" s="195">
        <f t="shared" si="4"/>
        <v>0.24520302866414281</v>
      </c>
      <c r="W9" s="174">
        <v>150</v>
      </c>
      <c r="X9" s="175">
        <v>100</v>
      </c>
      <c r="Y9" s="175">
        <f t="shared" si="5"/>
        <v>15000</v>
      </c>
      <c r="Z9" s="175">
        <f t="shared" si="6"/>
        <v>6000</v>
      </c>
      <c r="AA9" s="191">
        <f t="shared" si="7"/>
        <v>2.3738942232026702E-2</v>
      </c>
    </row>
    <row r="10" spans="2:27" x14ac:dyDescent="0.25">
      <c r="B10" s="143">
        <v>16</v>
      </c>
      <c r="C10" s="144">
        <v>7.58</v>
      </c>
      <c r="D10" s="145">
        <f t="shared" si="10"/>
        <v>45.126151035429146</v>
      </c>
      <c r="E10" s="144">
        <v>9.58</v>
      </c>
      <c r="F10" s="145">
        <f t="shared" si="8"/>
        <v>72.081016003229564</v>
      </c>
      <c r="I10" s="110">
        <v>16</v>
      </c>
      <c r="J10" s="111"/>
      <c r="K10" s="112"/>
      <c r="L10" s="155">
        <f t="shared" si="0"/>
        <v>0</v>
      </c>
      <c r="M10" s="156">
        <f t="shared" si="1"/>
        <v>0</v>
      </c>
      <c r="N10" s="157">
        <f t="shared" si="9"/>
        <v>0</v>
      </c>
      <c r="Q10" s="168">
        <v>2</v>
      </c>
      <c r="R10" s="231">
        <v>63.4</v>
      </c>
      <c r="S10" s="169">
        <v>50.8</v>
      </c>
      <c r="T10" s="156">
        <f t="shared" si="2"/>
        <v>2026.8299163899908</v>
      </c>
      <c r="U10" s="156">
        <f t="shared" si="3"/>
        <v>810.73196655599634</v>
      </c>
      <c r="V10" s="194">
        <f t="shared" si="4"/>
        <v>0.17568525637051277</v>
      </c>
      <c r="W10" s="170">
        <v>200</v>
      </c>
      <c r="X10" s="2">
        <v>100</v>
      </c>
      <c r="Y10" s="2">
        <f t="shared" si="5"/>
        <v>20000</v>
      </c>
      <c r="Z10" s="2">
        <f t="shared" si="6"/>
        <v>8000</v>
      </c>
      <c r="AA10" s="190">
        <f t="shared" si="7"/>
        <v>1.7804206674020027E-2</v>
      </c>
    </row>
    <row r="11" spans="2:27" x14ac:dyDescent="0.25">
      <c r="B11" s="146">
        <v>25</v>
      </c>
      <c r="C11" s="147">
        <v>9.31</v>
      </c>
      <c r="D11" s="148">
        <f t="shared" si="10"/>
        <v>68.075249750453565</v>
      </c>
      <c r="E11" s="147">
        <v>11.5</v>
      </c>
      <c r="F11" s="148">
        <f t="shared" si="8"/>
        <v>103.86890710931253</v>
      </c>
      <c r="I11" s="113">
        <v>25</v>
      </c>
      <c r="J11" s="114"/>
      <c r="K11" s="115"/>
      <c r="L11" s="158">
        <f t="shared" si="0"/>
        <v>0</v>
      </c>
      <c r="M11" s="153">
        <f t="shared" si="1"/>
        <v>0</v>
      </c>
      <c r="N11" s="154">
        <f t="shared" si="9"/>
        <v>0</v>
      </c>
      <c r="Q11" s="171">
        <v>3</v>
      </c>
      <c r="R11" s="232">
        <v>89</v>
      </c>
      <c r="S11" s="172">
        <v>75</v>
      </c>
      <c r="T11" s="173">
        <f t="shared" si="2"/>
        <v>4417.8646691106469</v>
      </c>
      <c r="U11" s="173">
        <f t="shared" si="3"/>
        <v>1767.1458676442589</v>
      </c>
      <c r="V11" s="195">
        <f t="shared" si="4"/>
        <v>8.0600959999999999E-2</v>
      </c>
      <c r="W11" s="174">
        <v>300</v>
      </c>
      <c r="X11" s="175">
        <v>100</v>
      </c>
      <c r="Y11" s="175">
        <f t="shared" si="5"/>
        <v>30000</v>
      </c>
      <c r="Z11" s="175">
        <f t="shared" si="6"/>
        <v>12000</v>
      </c>
      <c r="AA11" s="191">
        <f t="shared" si="7"/>
        <v>1.1869471116013351E-2</v>
      </c>
    </row>
    <row r="12" spans="2:27" ht="15.75" thickBot="1" x14ac:dyDescent="0.3">
      <c r="B12" s="143">
        <v>35</v>
      </c>
      <c r="C12" s="144">
        <v>10.6</v>
      </c>
      <c r="D12" s="145">
        <f t="shared" si="10"/>
        <v>88.247337639337289</v>
      </c>
      <c r="E12" s="144">
        <v>12.73</v>
      </c>
      <c r="F12" s="145">
        <f t="shared" si="8"/>
        <v>127.27605003323036</v>
      </c>
      <c r="I12" s="110">
        <v>35</v>
      </c>
      <c r="J12" s="111"/>
      <c r="K12" s="112"/>
      <c r="L12" s="155">
        <f t="shared" si="0"/>
        <v>0</v>
      </c>
      <c r="M12" s="156">
        <f t="shared" si="1"/>
        <v>0</v>
      </c>
      <c r="N12" s="157">
        <f t="shared" si="9"/>
        <v>0</v>
      </c>
      <c r="Q12" s="168">
        <v>4</v>
      </c>
      <c r="R12" s="231">
        <v>124.5</v>
      </c>
      <c r="S12" s="169">
        <v>102</v>
      </c>
      <c r="T12" s="156">
        <f t="shared" si="2"/>
        <v>8171.2824919870518</v>
      </c>
      <c r="U12" s="156">
        <f t="shared" si="3"/>
        <v>3268.512996794821</v>
      </c>
      <c r="V12" s="194">
        <f t="shared" si="4"/>
        <v>4.3577508650519035E-2</v>
      </c>
      <c r="W12" s="176">
        <v>500</v>
      </c>
      <c r="X12" s="177">
        <v>100</v>
      </c>
      <c r="Y12" s="177">
        <f t="shared" si="5"/>
        <v>50000</v>
      </c>
      <c r="Z12" s="177">
        <f t="shared" si="6"/>
        <v>20000</v>
      </c>
      <c r="AA12" s="192">
        <f t="shared" si="7"/>
        <v>7.1216826696080104E-3</v>
      </c>
    </row>
    <row r="13" spans="2:27" x14ac:dyDescent="0.25">
      <c r="B13" s="146">
        <v>50</v>
      </c>
      <c r="C13" s="147">
        <v>12.7</v>
      </c>
      <c r="D13" s="148">
        <f t="shared" si="10"/>
        <v>126.67686977437442</v>
      </c>
      <c r="E13" s="147">
        <v>14.95</v>
      </c>
      <c r="F13" s="148">
        <f t="shared" si="8"/>
        <v>175.53845301473817</v>
      </c>
      <c r="I13" s="113">
        <v>50</v>
      </c>
      <c r="J13" s="114"/>
      <c r="K13" s="115"/>
      <c r="L13" s="158">
        <f t="shared" si="0"/>
        <v>0</v>
      </c>
      <c r="M13" s="153">
        <f t="shared" si="1"/>
        <v>0</v>
      </c>
      <c r="N13" s="154">
        <f t="shared" si="9"/>
        <v>0</v>
      </c>
      <c r="Q13" s="171">
        <v>5</v>
      </c>
      <c r="R13" s="232">
        <v>155.5</v>
      </c>
      <c r="S13" s="172">
        <v>128</v>
      </c>
      <c r="T13" s="173">
        <f t="shared" si="2"/>
        <v>12867.963509103793</v>
      </c>
      <c r="U13" s="173">
        <f t="shared" si="3"/>
        <v>5147.185403641517</v>
      </c>
      <c r="V13" s="191">
        <f t="shared" si="4"/>
        <v>2.7672143554687504E-2</v>
      </c>
    </row>
    <row r="14" spans="2:27" x14ac:dyDescent="0.25">
      <c r="B14" s="143">
        <v>70</v>
      </c>
      <c r="C14" s="144">
        <v>14.6</v>
      </c>
      <c r="D14" s="145">
        <f t="shared" si="10"/>
        <v>167.41547250980008</v>
      </c>
      <c r="E14" s="144">
        <v>17.350000000000001</v>
      </c>
      <c r="F14" s="145">
        <f t="shared" si="8"/>
        <v>236.42251864130841</v>
      </c>
      <c r="I14" s="110">
        <v>70</v>
      </c>
      <c r="J14" s="111"/>
      <c r="K14" s="112"/>
      <c r="L14" s="155">
        <f t="shared" si="0"/>
        <v>0</v>
      </c>
      <c r="M14" s="156">
        <f t="shared" si="1"/>
        <v>0</v>
      </c>
      <c r="N14" s="157">
        <f t="shared" si="9"/>
        <v>0</v>
      </c>
      <c r="Q14" s="168">
        <v>6</v>
      </c>
      <c r="R14" s="231">
        <v>190.8</v>
      </c>
      <c r="S14" s="169">
        <v>155</v>
      </c>
      <c r="T14" s="156">
        <f t="shared" si="2"/>
        <v>18869.190875623695</v>
      </c>
      <c r="U14" s="156">
        <f t="shared" si="3"/>
        <v>7547.6763502494787</v>
      </c>
      <c r="V14" s="190">
        <f t="shared" si="4"/>
        <v>1.8871192507804373E-2</v>
      </c>
    </row>
    <row r="15" spans="2:27" ht="15.75" thickBot="1" x14ac:dyDescent="0.3">
      <c r="B15" s="146">
        <v>95</v>
      </c>
      <c r="C15" s="147">
        <v>16.600000000000001</v>
      </c>
      <c r="D15" s="148">
        <f t="shared" si="10"/>
        <v>216.4243179058009</v>
      </c>
      <c r="E15" s="147">
        <v>19.190000000000001</v>
      </c>
      <c r="F15" s="148">
        <f t="shared" si="8"/>
        <v>289.22766459990709</v>
      </c>
      <c r="I15" s="113">
        <v>95</v>
      </c>
      <c r="J15" s="114"/>
      <c r="K15" s="115"/>
      <c r="L15" s="158">
        <f t="shared" si="0"/>
        <v>0</v>
      </c>
      <c r="M15" s="153">
        <f t="shared" si="1"/>
        <v>0</v>
      </c>
      <c r="N15" s="154">
        <f t="shared" si="9"/>
        <v>0</v>
      </c>
      <c r="Q15" s="178">
        <v>8</v>
      </c>
      <c r="R15" s="233"/>
      <c r="S15" s="179">
        <v>206</v>
      </c>
      <c r="T15" s="180">
        <f t="shared" si="2"/>
        <v>33329.156461934115</v>
      </c>
      <c r="U15" s="180">
        <f t="shared" si="3"/>
        <v>13331.662584773647</v>
      </c>
      <c r="V15" s="196">
        <f t="shared" si="4"/>
        <v>1.0683862758035631E-2</v>
      </c>
    </row>
    <row r="16" spans="2:27" x14ac:dyDescent="0.25">
      <c r="B16" s="143">
        <v>120</v>
      </c>
      <c r="C16" s="144">
        <v>18.5</v>
      </c>
      <c r="D16" s="145">
        <f t="shared" si="10"/>
        <v>268.80252142277669</v>
      </c>
      <c r="E16" s="144">
        <v>21.56</v>
      </c>
      <c r="F16" s="145">
        <f t="shared" si="8"/>
        <v>365.07945572542405</v>
      </c>
      <c r="I16" s="110">
        <v>120</v>
      </c>
      <c r="J16" s="111"/>
      <c r="K16" s="112"/>
      <c r="L16" s="155">
        <f t="shared" si="0"/>
        <v>0</v>
      </c>
      <c r="M16" s="156">
        <f t="shared" si="1"/>
        <v>0</v>
      </c>
      <c r="N16" s="157">
        <f t="shared" si="9"/>
        <v>0</v>
      </c>
      <c r="R16" s="117"/>
    </row>
    <row r="17" spans="2:18" x14ac:dyDescent="0.25">
      <c r="B17" s="146">
        <v>150</v>
      </c>
      <c r="C17" s="147">
        <v>20.8</v>
      </c>
      <c r="D17" s="148">
        <f t="shared" si="10"/>
        <v>339.79466141227203</v>
      </c>
      <c r="E17" s="147">
        <v>23.88</v>
      </c>
      <c r="F17" s="148">
        <f t="shared" si="8"/>
        <v>447.87675842931378</v>
      </c>
      <c r="I17" s="113">
        <v>150</v>
      </c>
      <c r="J17" s="114"/>
      <c r="K17" s="115"/>
      <c r="L17" s="158">
        <f t="shared" si="0"/>
        <v>0</v>
      </c>
      <c r="M17" s="153">
        <f t="shared" si="1"/>
        <v>0</v>
      </c>
      <c r="N17" s="154">
        <f t="shared" si="9"/>
        <v>0</v>
      </c>
      <c r="R17" s="118"/>
    </row>
    <row r="18" spans="2:18" x14ac:dyDescent="0.25">
      <c r="B18" s="143">
        <v>185</v>
      </c>
      <c r="C18" s="144">
        <v>22.8</v>
      </c>
      <c r="D18" s="145">
        <f t="shared" si="10"/>
        <v>408.28138126052954</v>
      </c>
      <c r="E18" s="144">
        <v>26.12</v>
      </c>
      <c r="F18" s="145">
        <f t="shared" si="8"/>
        <v>535.84135272982803</v>
      </c>
      <c r="I18" s="110">
        <v>185</v>
      </c>
      <c r="J18" s="111"/>
      <c r="K18" s="112"/>
      <c r="L18" s="155">
        <f t="shared" si="0"/>
        <v>0</v>
      </c>
      <c r="M18" s="156">
        <f t="shared" si="1"/>
        <v>0</v>
      </c>
      <c r="N18" s="157">
        <f t="shared" si="9"/>
        <v>0</v>
      </c>
      <c r="R18" s="118"/>
    </row>
    <row r="19" spans="2:18" x14ac:dyDescent="0.25">
      <c r="B19" s="146">
        <v>240</v>
      </c>
      <c r="C19" s="147">
        <v>26.2</v>
      </c>
      <c r="D19" s="148">
        <f t="shared" si="10"/>
        <v>539.12871528254436</v>
      </c>
      <c r="E19" s="147">
        <v>29.62</v>
      </c>
      <c r="F19" s="148">
        <f t="shared" si="8"/>
        <v>689.06468042703625</v>
      </c>
      <c r="I19" s="113">
        <v>240</v>
      </c>
      <c r="J19" s="114"/>
      <c r="K19" s="115"/>
      <c r="L19" s="158">
        <f t="shared" si="0"/>
        <v>0</v>
      </c>
      <c r="M19" s="153">
        <f t="shared" si="1"/>
        <v>0</v>
      </c>
      <c r="N19" s="154">
        <f t="shared" si="9"/>
        <v>0</v>
      </c>
      <c r="R19" s="118"/>
    </row>
    <row r="20" spans="2:18" ht="15.75" thickBot="1" x14ac:dyDescent="0.3">
      <c r="B20" s="149">
        <v>300</v>
      </c>
      <c r="C20" s="150">
        <v>29.5</v>
      </c>
      <c r="D20" s="151">
        <f t="shared" si="10"/>
        <v>683.4927516966294</v>
      </c>
      <c r="E20" s="150">
        <v>33.200000000000003</v>
      </c>
      <c r="F20" s="151">
        <f t="shared" si="8"/>
        <v>865.69727162320362</v>
      </c>
      <c r="I20" s="119">
        <v>300</v>
      </c>
      <c r="J20" s="116"/>
      <c r="K20" s="120"/>
      <c r="L20" s="159">
        <f t="shared" si="0"/>
        <v>0</v>
      </c>
      <c r="M20" s="160">
        <f t="shared" si="1"/>
        <v>0</v>
      </c>
      <c r="N20" s="161">
        <f t="shared" si="9"/>
        <v>0</v>
      </c>
      <c r="R20" s="118"/>
    </row>
    <row r="21" spans="2:18" ht="15.75" thickBot="1" x14ac:dyDescent="0.3">
      <c r="L21" s="121"/>
      <c r="M21" s="121"/>
      <c r="N21" s="121"/>
    </row>
    <row r="22" spans="2:18" ht="15.75" thickBot="1" x14ac:dyDescent="0.3">
      <c r="L22" s="527" t="s">
        <v>89</v>
      </c>
      <c r="M22" s="528"/>
      <c r="N22" s="162">
        <f>SUM(N5:N20)</f>
        <v>356.08413348040051</v>
      </c>
    </row>
  </sheetData>
  <mergeCells count="11">
    <mergeCell ref="B3:B4"/>
    <mergeCell ref="B2:F2"/>
    <mergeCell ref="J3:K3"/>
    <mergeCell ref="J2:N2"/>
    <mergeCell ref="L3:N3"/>
    <mergeCell ref="W3:AA3"/>
    <mergeCell ref="R2:AA2"/>
    <mergeCell ref="L22:M22"/>
    <mergeCell ref="R3:V3"/>
    <mergeCell ref="C3:D3"/>
    <mergeCell ref="E3:F3"/>
  </mergeCells>
  <conditionalFormatting sqref="U5:U15">
    <cfRule type="cellIs" dxfId="14" priority="7" operator="lessThan">
      <formula>$N$22</formula>
    </cfRule>
    <cfRule type="cellIs" dxfId="13" priority="8" operator="greaterThan">
      <formula>$N$22</formula>
    </cfRule>
  </conditionalFormatting>
  <conditionalFormatting sqref="V5:V15">
    <cfRule type="cellIs" dxfId="12" priority="5" operator="greaterThanOrEqual">
      <formula>0.4</formula>
    </cfRule>
    <cfRule type="cellIs" dxfId="11" priority="6" operator="lessThan">
      <formula>0.4</formula>
    </cfRule>
  </conditionalFormatting>
  <conditionalFormatting sqref="Z5:Z12">
    <cfRule type="cellIs" dxfId="10" priority="3" operator="lessThan">
      <formula>$N$22</formula>
    </cfRule>
    <cfRule type="cellIs" dxfId="9" priority="4" operator="greaterThan">
      <formula>$N$22</formula>
    </cfRule>
  </conditionalFormatting>
  <conditionalFormatting sqref="AA5:AA12">
    <cfRule type="cellIs" dxfId="8" priority="1" operator="lessThan">
      <formula>0.4</formula>
    </cfRule>
    <cfRule type="cellIs" dxfId="7" priority="2" operator="greaterThanOrEqual">
      <formula>0.4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F0E41-A218-498B-BFBA-BAC2E1D5BB19}">
  <sheetPr codeName="Planilha7">
    <tabColor theme="9" tint="0.39997558519241921"/>
  </sheetPr>
  <dimension ref="A1:V17"/>
  <sheetViews>
    <sheetView workbookViewId="0">
      <selection activeCell="E8" sqref="E8"/>
    </sheetView>
  </sheetViews>
  <sheetFormatPr defaultRowHeight="15" x14ac:dyDescent="0.25"/>
  <cols>
    <col min="1" max="1" width="17.5703125" customWidth="1"/>
    <col min="2" max="2" width="8.140625" bestFit="1" customWidth="1"/>
    <col min="4" max="4" width="15" bestFit="1" customWidth="1"/>
    <col min="5" max="5" width="8.140625" bestFit="1" customWidth="1"/>
    <col min="9" max="9" width="14.7109375" bestFit="1" customWidth="1"/>
    <col min="10" max="10" width="9.85546875" bestFit="1" customWidth="1"/>
    <col min="11" max="11" width="14.7109375" bestFit="1" customWidth="1"/>
    <col min="12" max="12" width="12.42578125" bestFit="1" customWidth="1"/>
    <col min="14" max="14" width="9.85546875" bestFit="1" customWidth="1"/>
    <col min="21" max="21" width="9.85546875" bestFit="1" customWidth="1"/>
    <col min="22" max="22" width="32.42578125" customWidth="1"/>
  </cols>
  <sheetData>
    <row r="1" spans="1:22" ht="15.75" thickBot="1" x14ac:dyDescent="0.3">
      <c r="A1" s="275" t="s">
        <v>127</v>
      </c>
      <c r="B1" s="275" t="s">
        <v>129</v>
      </c>
      <c r="C1" s="275" t="s">
        <v>129</v>
      </c>
      <c r="D1" s="275" t="s">
        <v>127</v>
      </c>
      <c r="E1" s="275" t="s">
        <v>129</v>
      </c>
      <c r="F1" s="281" t="s">
        <v>133</v>
      </c>
      <c r="I1" s="410" t="s">
        <v>58</v>
      </c>
      <c r="J1" s="407">
        <f>INDEX(Dimensionamento!C5:C19,1)</f>
        <v>1</v>
      </c>
      <c r="U1" s="537" t="s">
        <v>187</v>
      </c>
      <c r="V1" s="537"/>
    </row>
    <row r="2" spans="1:22" ht="15.75" thickBot="1" x14ac:dyDescent="0.3">
      <c r="A2" s="276" t="s">
        <v>128</v>
      </c>
      <c r="B2" s="276" t="s">
        <v>86</v>
      </c>
      <c r="C2" s="275" t="s">
        <v>87</v>
      </c>
      <c r="D2" s="277" t="s">
        <v>131</v>
      </c>
      <c r="E2" s="278" t="s">
        <v>87</v>
      </c>
      <c r="F2" s="282" t="s">
        <v>86</v>
      </c>
      <c r="I2" s="411" t="s">
        <v>201</v>
      </c>
      <c r="J2" s="408" t="str">
        <f>Dimensionamento!Q5</f>
        <v>De solo</v>
      </c>
      <c r="U2" t="s">
        <v>143</v>
      </c>
      <c r="V2" t="s">
        <v>86</v>
      </c>
    </row>
    <row r="3" spans="1:22" x14ac:dyDescent="0.25">
      <c r="A3" s="274">
        <v>10</v>
      </c>
      <c r="B3" s="274">
        <v>1.22</v>
      </c>
      <c r="C3" s="274">
        <v>1.1499999999999999</v>
      </c>
      <c r="D3" s="274">
        <v>10</v>
      </c>
      <c r="E3" s="280">
        <v>1.07</v>
      </c>
      <c r="F3" s="274">
        <v>1.1000000000000001</v>
      </c>
      <c r="I3" s="411" t="s">
        <v>202</v>
      </c>
      <c r="J3" s="408">
        <f>Dimensionamento!R5</f>
        <v>40</v>
      </c>
      <c r="M3" s="299"/>
      <c r="U3" t="s">
        <v>128</v>
      </c>
      <c r="V3" t="s">
        <v>87</v>
      </c>
    </row>
    <row r="4" spans="1:22" x14ac:dyDescent="0.25">
      <c r="A4" s="169">
        <v>15</v>
      </c>
      <c r="B4" s="169">
        <v>1.17</v>
      </c>
      <c r="C4" s="169">
        <v>1.1200000000000001</v>
      </c>
      <c r="D4" s="169">
        <v>15</v>
      </c>
      <c r="E4" s="279">
        <v>1.04</v>
      </c>
      <c r="F4" s="169">
        <v>1.05</v>
      </c>
      <c r="I4" s="411" t="s">
        <v>318</v>
      </c>
      <c r="J4" s="408" t="str">
        <f>Dimensionamento!S5</f>
        <v>EPR</v>
      </c>
    </row>
    <row r="5" spans="1:22" ht="15.75" thickBot="1" x14ac:dyDescent="0.3">
      <c r="A5" s="169">
        <v>20</v>
      </c>
      <c r="B5" s="169">
        <v>1.1200000000000001</v>
      </c>
      <c r="C5" s="169">
        <v>1.08</v>
      </c>
      <c r="D5" s="169">
        <v>20</v>
      </c>
      <c r="E5" s="279">
        <v>0.96</v>
      </c>
      <c r="F5" s="169">
        <v>0.95</v>
      </c>
      <c r="I5" s="412" t="s">
        <v>316</v>
      </c>
      <c r="J5" s="409">
        <f>_xlfn.IFS(AND(J2="Ambiente",J4="EPR"),INDEX(C3:C16,MATCH(J3,A3:A16,0)),AND(J2="De solo",J4="EPR"),INDEX(E3:E16,MATCH(J3,D3:D16,0)),AND(J2="Ambiente",J4="PVC"),INDEX(B3:B16,MATCH(J3,A3:A16,0)),AND(J2="De solo",J4="PVC"),INDEX(F3:F16,MATCH(J3,D3:D16,0)))</f>
        <v>0.85</v>
      </c>
    </row>
    <row r="6" spans="1:22" x14ac:dyDescent="0.25">
      <c r="A6" s="169">
        <v>25</v>
      </c>
      <c r="B6" s="169">
        <v>1.06</v>
      </c>
      <c r="C6" s="169">
        <v>1.04</v>
      </c>
      <c r="D6" s="169">
        <v>25</v>
      </c>
      <c r="E6" s="279">
        <v>0.93</v>
      </c>
      <c r="F6" s="169">
        <v>0.89</v>
      </c>
      <c r="I6" s="413" t="s">
        <v>200</v>
      </c>
      <c r="J6" s="407">
        <f>INDEX(Dimensionamento!C5:C19,2)</f>
        <v>2</v>
      </c>
    </row>
    <row r="7" spans="1:22" x14ac:dyDescent="0.25">
      <c r="A7" s="169">
        <v>35</v>
      </c>
      <c r="B7" s="169">
        <v>0.94</v>
      </c>
      <c r="C7" s="169">
        <v>0.96</v>
      </c>
      <c r="D7" s="169">
        <v>35</v>
      </c>
      <c r="E7" s="279">
        <v>0.89</v>
      </c>
      <c r="F7" s="169">
        <v>0.84</v>
      </c>
      <c r="I7" s="414" t="s">
        <v>132</v>
      </c>
      <c r="J7" s="408" t="str">
        <f>Dimensionamento!Q6</f>
        <v>Ambiente</v>
      </c>
    </row>
    <row r="8" spans="1:22" x14ac:dyDescent="0.25">
      <c r="A8" s="169">
        <v>40</v>
      </c>
      <c r="B8" s="169">
        <v>0.87</v>
      </c>
      <c r="C8" s="169">
        <v>0.91</v>
      </c>
      <c r="D8" s="169">
        <v>40</v>
      </c>
      <c r="E8" s="279">
        <v>0.85</v>
      </c>
      <c r="F8" s="169">
        <v>0.77</v>
      </c>
      <c r="I8" s="414" t="s">
        <v>142</v>
      </c>
      <c r="J8" s="408">
        <f>Dimensionamento!R6</f>
        <v>45</v>
      </c>
      <c r="K8" s="296"/>
      <c r="L8" s="296"/>
    </row>
    <row r="9" spans="1:22" x14ac:dyDescent="0.25">
      <c r="A9" s="169">
        <f>40+5</f>
        <v>45</v>
      </c>
      <c r="B9" s="169">
        <v>0.79</v>
      </c>
      <c r="C9" s="169">
        <v>0.87</v>
      </c>
      <c r="D9" s="169">
        <f>40+5</f>
        <v>45</v>
      </c>
      <c r="E9" s="279">
        <v>0.8</v>
      </c>
      <c r="F9" s="169">
        <v>0.71</v>
      </c>
      <c r="I9" s="414" t="s">
        <v>149</v>
      </c>
      <c r="J9" s="408" t="str">
        <f>Dimensionamento!S6</f>
        <v>EPR</v>
      </c>
    </row>
    <row r="10" spans="1:22" ht="15.75" thickBot="1" x14ac:dyDescent="0.3">
      <c r="A10" s="169">
        <v>50</v>
      </c>
      <c r="B10" s="169">
        <v>0.71</v>
      </c>
      <c r="C10" s="169">
        <v>0.82</v>
      </c>
      <c r="D10" s="169">
        <v>50</v>
      </c>
      <c r="E10" s="279">
        <v>0.76</v>
      </c>
      <c r="F10" s="169">
        <v>0.63</v>
      </c>
      <c r="I10" s="415" t="s">
        <v>130</v>
      </c>
      <c r="J10" s="409">
        <f>_xlfn.IFS(AND(J7="Ambiente",J9="EPR"),INDEX(C3:C16,MATCH(J8,A3:A16,0)),AND(J7="De solo",J9="EPR"),INDEX(E3:E16,MATCH(J8,D3:D16,0)),AND(J7="Ambiente",J9="PVC"),INDEX(B3:B16,MATCH(J8,A3:A16,0)),AND(J7="De solo",J9="PVC"),INDEX(F3:F16,MATCH(J8,D3:D16,0)))</f>
        <v>0.87</v>
      </c>
    </row>
    <row r="11" spans="1:22" x14ac:dyDescent="0.25">
      <c r="A11" s="169">
        <v>55</v>
      </c>
      <c r="B11" s="169">
        <v>0.61</v>
      </c>
      <c r="C11" s="169">
        <v>0.76</v>
      </c>
      <c r="D11" s="169">
        <v>55</v>
      </c>
      <c r="E11" s="279">
        <v>0.71</v>
      </c>
      <c r="F11" s="169">
        <v>0.55000000000000004</v>
      </c>
    </row>
    <row r="12" spans="1:22" x14ac:dyDescent="0.25">
      <c r="A12" s="169">
        <v>60</v>
      </c>
      <c r="B12" s="169">
        <v>0.5</v>
      </c>
      <c r="C12" s="169">
        <v>0.71</v>
      </c>
      <c r="D12" s="169">
        <v>60</v>
      </c>
      <c r="E12" s="279">
        <v>0.65</v>
      </c>
      <c r="F12" s="169">
        <v>0.45</v>
      </c>
    </row>
    <row r="13" spans="1:22" x14ac:dyDescent="0.25">
      <c r="A13" s="169">
        <v>65</v>
      </c>
      <c r="B13" s="169" t="s">
        <v>134</v>
      </c>
      <c r="C13" s="169">
        <v>0.65</v>
      </c>
      <c r="D13" s="169">
        <v>65</v>
      </c>
      <c r="E13" s="279">
        <v>0.6</v>
      </c>
      <c r="F13" s="169" t="s">
        <v>134</v>
      </c>
    </row>
    <row r="14" spans="1:22" x14ac:dyDescent="0.25">
      <c r="A14" s="169">
        <v>70</v>
      </c>
      <c r="B14" s="169" t="s">
        <v>134</v>
      </c>
      <c r="C14" s="169">
        <v>0.57999999999999996</v>
      </c>
      <c r="D14" s="169">
        <v>70</v>
      </c>
      <c r="E14" s="279">
        <v>0.54</v>
      </c>
      <c r="F14" s="169" t="s">
        <v>134</v>
      </c>
    </row>
    <row r="15" spans="1:22" x14ac:dyDescent="0.25">
      <c r="A15" s="169">
        <v>75</v>
      </c>
      <c r="B15" s="169" t="s">
        <v>134</v>
      </c>
      <c r="C15" s="169">
        <v>0.5</v>
      </c>
      <c r="D15" s="169">
        <v>75</v>
      </c>
      <c r="E15" s="279">
        <v>0.46</v>
      </c>
      <c r="F15" s="169" t="s">
        <v>134</v>
      </c>
    </row>
    <row r="16" spans="1:22" x14ac:dyDescent="0.25">
      <c r="A16" s="169">
        <v>80</v>
      </c>
      <c r="B16" s="169" t="s">
        <v>134</v>
      </c>
      <c r="C16" s="169">
        <v>0.41</v>
      </c>
      <c r="D16" s="169">
        <v>80</v>
      </c>
      <c r="E16" s="279">
        <v>0.38</v>
      </c>
      <c r="F16" s="169" t="s">
        <v>134</v>
      </c>
    </row>
    <row r="17" spans="6:6" x14ac:dyDescent="0.25">
      <c r="F17" s="273"/>
    </row>
  </sheetData>
  <mergeCells count="1">
    <mergeCell ref="U1:V1"/>
  </mergeCells>
  <dataValidations disablePrompts="1" count="3">
    <dataValidation type="list" errorStyle="warning" allowBlank="1" showInputMessage="1" showErrorMessage="1" promptTitle="Selecione um valor" prompt="." sqref="J8" xr:uid="{058FDA01-1CA0-46B2-8976-9405FF236861}">
      <formula1>$A$3:$A$16</formula1>
    </dataValidation>
    <dataValidation type="list" allowBlank="1" showInputMessage="1" showErrorMessage="1" promptTitle="Selecione um valor" prompt="." sqref="J9" xr:uid="{B76C18FC-9E5F-42BE-BA71-32C4DB8124F2}">
      <formula1>$V$2:$V$3</formula1>
    </dataValidation>
    <dataValidation type="list" allowBlank="1" showInputMessage="1" showErrorMessage="1" sqref="J7" xr:uid="{98650B69-C36A-4856-9771-FF10A645CBBA}">
      <formula1>$U$2:$U$3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A1574-1163-4D00-8C25-F8BEDE421152}">
  <sheetPr codeName="Planilha8"/>
  <dimension ref="A1:X24"/>
  <sheetViews>
    <sheetView workbookViewId="0">
      <selection activeCell="B3" sqref="B3"/>
    </sheetView>
  </sheetViews>
  <sheetFormatPr defaultRowHeight="15" x14ac:dyDescent="0.25"/>
  <cols>
    <col min="1" max="1" width="18.5703125" bestFit="1" customWidth="1"/>
    <col min="2" max="2" width="24.42578125" customWidth="1"/>
    <col min="4" max="4" width="18.7109375" customWidth="1"/>
    <col min="16" max="16" width="11.42578125" customWidth="1"/>
    <col min="17" max="17" width="10.85546875" customWidth="1"/>
  </cols>
  <sheetData>
    <row r="1" spans="1:24" x14ac:dyDescent="0.25">
      <c r="C1" s="538" t="s">
        <v>137</v>
      </c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  <c r="O1" s="538"/>
      <c r="P1" s="538"/>
      <c r="Q1" s="538"/>
      <c r="R1" s="538"/>
      <c r="S1" s="538"/>
      <c r="T1" s="538"/>
      <c r="U1" s="538"/>
      <c r="V1" s="538"/>
    </row>
    <row r="2" spans="1:24" ht="30" x14ac:dyDescent="0.25">
      <c r="A2" s="310" t="s">
        <v>135</v>
      </c>
      <c r="B2" s="309" t="s">
        <v>136</v>
      </c>
      <c r="C2" s="308">
        <v>1</v>
      </c>
      <c r="D2" s="308">
        <v>2</v>
      </c>
      <c r="E2" s="308">
        <v>3</v>
      </c>
      <c r="F2" s="308">
        <v>4</v>
      </c>
      <c r="G2" s="308">
        <v>5</v>
      </c>
      <c r="H2" s="308">
        <v>6</v>
      </c>
      <c r="I2" s="308">
        <v>7</v>
      </c>
      <c r="J2" s="308">
        <v>8</v>
      </c>
      <c r="K2" s="308">
        <v>9</v>
      </c>
      <c r="L2" s="308">
        <v>10</v>
      </c>
      <c r="M2" s="308">
        <v>11</v>
      </c>
      <c r="N2" s="308">
        <v>12</v>
      </c>
      <c r="O2" s="308">
        <v>13</v>
      </c>
      <c r="P2" s="308">
        <v>14</v>
      </c>
      <c r="Q2" s="308">
        <v>15</v>
      </c>
      <c r="R2" s="308">
        <v>16</v>
      </c>
      <c r="S2" s="308">
        <v>17</v>
      </c>
      <c r="T2" s="308">
        <v>18</v>
      </c>
      <c r="U2" s="308">
        <v>19</v>
      </c>
      <c r="V2" s="308">
        <v>20</v>
      </c>
      <c r="W2" s="297" t="s">
        <v>135</v>
      </c>
    </row>
    <row r="3" spans="1:24" ht="60" x14ac:dyDescent="0.25">
      <c r="A3" s="310">
        <v>1</v>
      </c>
      <c r="B3" s="309" t="s">
        <v>144</v>
      </c>
      <c r="C3" s="308">
        <v>1</v>
      </c>
      <c r="D3" s="308">
        <v>0.8</v>
      </c>
      <c r="E3" s="308">
        <v>0.7</v>
      </c>
      <c r="F3" s="308">
        <v>0.65</v>
      </c>
      <c r="G3" s="308">
        <v>0.6</v>
      </c>
      <c r="H3" s="308">
        <v>0.56999999999999995</v>
      </c>
      <c r="I3" s="308">
        <v>0.54</v>
      </c>
      <c r="J3" s="308">
        <v>0.52</v>
      </c>
      <c r="K3" s="308">
        <v>0.5</v>
      </c>
      <c r="L3" s="308">
        <v>0.5</v>
      </c>
      <c r="M3" s="308">
        <v>0.5</v>
      </c>
      <c r="N3" s="308">
        <v>0.45</v>
      </c>
      <c r="O3" s="308">
        <v>0.45</v>
      </c>
      <c r="P3" s="308">
        <v>0.45</v>
      </c>
      <c r="Q3" s="308">
        <v>0.45</v>
      </c>
      <c r="R3" s="308">
        <v>0.41</v>
      </c>
      <c r="S3" s="308">
        <v>0.41</v>
      </c>
      <c r="T3" s="308">
        <v>0.41</v>
      </c>
      <c r="U3" s="308">
        <v>0.41</v>
      </c>
      <c r="V3" s="308">
        <v>0.38</v>
      </c>
      <c r="W3" s="297" t="s">
        <v>321</v>
      </c>
      <c r="X3" t="s">
        <v>320</v>
      </c>
    </row>
    <row r="4" spans="1:24" ht="60" x14ac:dyDescent="0.25">
      <c r="A4" s="310">
        <v>2</v>
      </c>
      <c r="B4" s="309" t="s">
        <v>145</v>
      </c>
      <c r="C4" s="308">
        <v>1</v>
      </c>
      <c r="D4" s="308">
        <v>0.85</v>
      </c>
      <c r="E4" s="308">
        <v>0.79</v>
      </c>
      <c r="F4" s="308">
        <v>0.75</v>
      </c>
      <c r="G4" s="308">
        <v>0.73</v>
      </c>
      <c r="H4" s="308">
        <v>0.72</v>
      </c>
      <c r="I4" s="308">
        <v>0.72</v>
      </c>
      <c r="J4" s="308">
        <v>0.71</v>
      </c>
      <c r="K4" s="308">
        <v>0.7</v>
      </c>
      <c r="L4" s="308">
        <v>0.7</v>
      </c>
      <c r="M4" s="308">
        <v>0.7</v>
      </c>
      <c r="N4" s="308">
        <v>0.7</v>
      </c>
      <c r="O4" s="308">
        <v>0.7</v>
      </c>
      <c r="P4" s="308">
        <v>0.7</v>
      </c>
      <c r="Q4" s="308">
        <v>0.7</v>
      </c>
      <c r="R4" s="308">
        <v>0.7</v>
      </c>
      <c r="S4" s="308">
        <v>0.7</v>
      </c>
      <c r="T4" s="308">
        <v>0.7</v>
      </c>
      <c r="U4" s="308">
        <v>0.7</v>
      </c>
      <c r="V4" s="308">
        <v>0.7</v>
      </c>
      <c r="W4" s="297" t="s">
        <v>322</v>
      </c>
    </row>
    <row r="5" spans="1:24" x14ac:dyDescent="0.25">
      <c r="A5" s="310">
        <v>3</v>
      </c>
      <c r="B5" s="310" t="s">
        <v>146</v>
      </c>
      <c r="C5" s="308">
        <v>0.95</v>
      </c>
      <c r="D5" s="308">
        <v>0.81</v>
      </c>
      <c r="E5" s="308">
        <v>0.72</v>
      </c>
      <c r="F5" s="308">
        <v>0.68</v>
      </c>
      <c r="G5" s="308">
        <v>0.66</v>
      </c>
      <c r="H5" s="308">
        <v>0.64</v>
      </c>
      <c r="I5" s="308">
        <v>0.63</v>
      </c>
      <c r="J5" s="308">
        <v>0.62</v>
      </c>
      <c r="K5" s="308">
        <v>0.61</v>
      </c>
      <c r="L5" s="308">
        <v>0.61</v>
      </c>
      <c r="M5" s="308">
        <v>0.61</v>
      </c>
      <c r="N5" s="308">
        <v>0.61</v>
      </c>
      <c r="O5" s="308">
        <v>0.61</v>
      </c>
      <c r="P5" s="308">
        <v>0.61</v>
      </c>
      <c r="Q5" s="308">
        <v>0.61</v>
      </c>
      <c r="R5" s="308">
        <v>0.61</v>
      </c>
      <c r="S5" s="308">
        <v>0.61</v>
      </c>
      <c r="T5" s="308">
        <v>0.61</v>
      </c>
      <c r="U5" s="308">
        <v>0.61</v>
      </c>
      <c r="V5" s="308">
        <v>0.61</v>
      </c>
      <c r="W5" s="297" t="s">
        <v>323</v>
      </c>
    </row>
    <row r="6" spans="1:24" ht="30" x14ac:dyDescent="0.25">
      <c r="A6" s="310">
        <v>4</v>
      </c>
      <c r="B6" s="309" t="s">
        <v>147</v>
      </c>
      <c r="C6" s="308">
        <v>1</v>
      </c>
      <c r="D6" s="308">
        <v>0.88</v>
      </c>
      <c r="E6" s="308">
        <v>0.82</v>
      </c>
      <c r="F6" s="308">
        <v>0.77</v>
      </c>
      <c r="G6" s="308">
        <v>0.75</v>
      </c>
      <c r="H6" s="308">
        <v>0.73</v>
      </c>
      <c r="I6" s="308">
        <v>0.73</v>
      </c>
      <c r="J6" s="308">
        <v>0.72</v>
      </c>
      <c r="K6" s="308">
        <v>0.72</v>
      </c>
      <c r="L6" s="308">
        <v>0.72</v>
      </c>
      <c r="M6" s="308">
        <v>0.72</v>
      </c>
      <c r="N6" s="308">
        <v>0.72</v>
      </c>
      <c r="O6" s="308">
        <v>0.72</v>
      </c>
      <c r="P6" s="308">
        <v>0.72</v>
      </c>
      <c r="Q6" s="308">
        <v>0.72</v>
      </c>
      <c r="R6" s="308">
        <v>0.72</v>
      </c>
      <c r="S6" s="308">
        <v>0.72</v>
      </c>
      <c r="T6" s="308">
        <v>0.72</v>
      </c>
      <c r="U6" s="308">
        <v>0.72</v>
      </c>
      <c r="V6" s="308">
        <v>0.72</v>
      </c>
      <c r="W6" s="297" t="s">
        <v>324</v>
      </c>
    </row>
    <row r="7" spans="1:24" ht="30" x14ac:dyDescent="0.25">
      <c r="A7" s="310">
        <v>5</v>
      </c>
      <c r="B7" s="309" t="s">
        <v>148</v>
      </c>
      <c r="C7" s="308">
        <v>1</v>
      </c>
      <c r="D7" s="308">
        <v>0.87</v>
      </c>
      <c r="E7" s="308">
        <v>0.82</v>
      </c>
      <c r="F7" s="308">
        <v>0.8</v>
      </c>
      <c r="G7" s="308">
        <v>0.8</v>
      </c>
      <c r="H7" s="308">
        <v>0.79</v>
      </c>
      <c r="I7" s="308">
        <v>0.79</v>
      </c>
      <c r="J7" s="308">
        <v>0.78</v>
      </c>
      <c r="K7" s="308">
        <v>0.78</v>
      </c>
      <c r="L7" s="308">
        <v>0.78</v>
      </c>
      <c r="M7" s="308">
        <v>0.78</v>
      </c>
      <c r="N7" s="308">
        <v>0.78</v>
      </c>
      <c r="O7" s="308">
        <v>0.78</v>
      </c>
      <c r="P7" s="308">
        <v>0.78</v>
      </c>
      <c r="Q7" s="308">
        <v>0.78</v>
      </c>
      <c r="R7" s="308">
        <v>0.78</v>
      </c>
      <c r="S7" s="308">
        <v>0.78</v>
      </c>
      <c r="T7" s="308">
        <v>0.78</v>
      </c>
      <c r="U7" s="308">
        <v>0.78</v>
      </c>
      <c r="V7" s="308">
        <v>0.78</v>
      </c>
      <c r="W7" s="297" t="s">
        <v>325</v>
      </c>
    </row>
    <row r="10" spans="1:24" x14ac:dyDescent="0.25">
      <c r="R10" s="329"/>
    </row>
    <row r="13" spans="1:24" x14ac:dyDescent="0.25">
      <c r="O13" s="301"/>
      <c r="P13" s="301"/>
      <c r="Q13" s="301"/>
    </row>
    <row r="14" spans="1:24" x14ac:dyDescent="0.25">
      <c r="A14" s="406" t="s">
        <v>59</v>
      </c>
      <c r="B14" s="2">
        <f>INDEX(Dimensionamento!C5:C19,1)</f>
        <v>1</v>
      </c>
      <c r="O14" s="301"/>
      <c r="P14" s="301"/>
    </row>
    <row r="15" spans="1:24" x14ac:dyDescent="0.25">
      <c r="A15" s="406" t="s">
        <v>70</v>
      </c>
      <c r="B15" s="2">
        <f>Dimensionamento!T5</f>
        <v>1</v>
      </c>
    </row>
    <row r="16" spans="1:24" ht="60" x14ac:dyDescent="0.25">
      <c r="A16" s="406" t="s">
        <v>315</v>
      </c>
      <c r="B16" s="405" t="str">
        <f>Dimensionamento!U5</f>
        <v>(1) Em feixe; ao ar livre ou sobre superfícia; embutidos; em conduto fechado</v>
      </c>
      <c r="O16" s="329"/>
      <c r="P16" s="329"/>
      <c r="Q16" s="352"/>
    </row>
    <row r="17" spans="1:2" x14ac:dyDescent="0.25">
      <c r="A17" s="406" t="s">
        <v>135</v>
      </c>
      <c r="B17" s="2">
        <f>INDEX($A$3:$A$7,MATCH(B16,$B$3:$B$7,0))</f>
        <v>1</v>
      </c>
    </row>
    <row r="18" spans="1:2" x14ac:dyDescent="0.25">
      <c r="A18" s="406" t="s">
        <v>316</v>
      </c>
      <c r="B18" s="2">
        <f>INDEX($C$3:$V$7,MATCH(B17,$A$3:$A$7,0),MATCH(IF(B15&gt;20,20,B15),$C$2:$V$2,0))</f>
        <v>1</v>
      </c>
    </row>
    <row r="20" spans="1:2" x14ac:dyDescent="0.25">
      <c r="A20" s="401" t="s">
        <v>59</v>
      </c>
      <c r="B20" s="2">
        <f>INDEX(Dimensionamento!C5:C19,2)</f>
        <v>2</v>
      </c>
    </row>
    <row r="21" spans="1:2" x14ac:dyDescent="0.25">
      <c r="A21" s="401" t="s">
        <v>70</v>
      </c>
      <c r="B21" s="2">
        <f>Dimensionamento!T$6</f>
        <v>0</v>
      </c>
    </row>
    <row r="22" spans="1:2" ht="60" x14ac:dyDescent="0.25">
      <c r="A22" s="400" t="s">
        <v>315</v>
      </c>
      <c r="B22" s="330" t="str">
        <f>Dimensionamento!U$6</f>
        <v>(1) Em feixe; ao ar livre ou sobre superfícia; embutidos; em conduto fechado</v>
      </c>
    </row>
    <row r="23" spans="1:2" x14ac:dyDescent="0.25">
      <c r="A23" s="401" t="s">
        <v>135</v>
      </c>
      <c r="B23" s="2">
        <f>INDEX($A$3:$A$7,MATCH(B22,$B$3:$B$7,0))</f>
        <v>1</v>
      </c>
    </row>
    <row r="24" spans="1:2" x14ac:dyDescent="0.25">
      <c r="A24" s="401" t="s">
        <v>316</v>
      </c>
      <c r="B24" s="2" t="e">
        <f>INDEX($C$3:$V$7,MATCH(B23,$A$3:$A$7,0),MATCH(IF(B21&gt;20,20,B21),$C$2:$V$2,0))</f>
        <v>#N/A</v>
      </c>
    </row>
  </sheetData>
  <mergeCells count="1">
    <mergeCell ref="C1:V1"/>
  </mergeCells>
  <dataValidations disablePrompts="1" count="1">
    <dataValidation type="list" allowBlank="1" showInputMessage="1" showErrorMessage="1" sqref="Q16" xr:uid="{88272AB1-2051-498D-ABDB-1A99054AFBD4}">
      <formula1>$B$3:$B$7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5F632-3C88-44CE-A901-8A490B349569}">
  <sheetPr codeName="Planilha9">
    <tabColor theme="9" tint="0.39997558519241921"/>
  </sheetPr>
  <dimension ref="A1:W87"/>
  <sheetViews>
    <sheetView topLeftCell="D1" zoomScaleNormal="100" workbookViewId="0">
      <selection activeCell="M14" sqref="M14"/>
    </sheetView>
  </sheetViews>
  <sheetFormatPr defaultRowHeight="15" x14ac:dyDescent="0.25"/>
  <cols>
    <col min="2" max="2" width="12.7109375" customWidth="1"/>
    <col min="3" max="3" width="16.140625" customWidth="1"/>
    <col min="14" max="14" width="10.85546875" customWidth="1"/>
    <col min="15" max="15" width="30.140625" bestFit="1" customWidth="1"/>
    <col min="16" max="16" width="12.85546875" bestFit="1" customWidth="1"/>
    <col min="17" max="17" width="20" customWidth="1"/>
    <col min="18" max="18" width="23.140625" bestFit="1" customWidth="1"/>
    <col min="19" max="19" width="32.28515625" bestFit="1" customWidth="1"/>
    <col min="20" max="20" width="37.28515625" bestFit="1" customWidth="1"/>
  </cols>
  <sheetData>
    <row r="1" spans="1:23" ht="30.75" thickBot="1" x14ac:dyDescent="0.3">
      <c r="A1" s="546" t="s">
        <v>140</v>
      </c>
      <c r="B1" s="556" t="s">
        <v>138</v>
      </c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8"/>
      <c r="S1" s="365" t="s">
        <v>180</v>
      </c>
      <c r="T1" s="365"/>
    </row>
    <row r="2" spans="1:23" x14ac:dyDescent="0.25">
      <c r="A2" s="547"/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375"/>
      <c r="O2" s="273"/>
      <c r="S2" s="366" t="s">
        <v>176</v>
      </c>
      <c r="T2" s="364" t="s">
        <v>177</v>
      </c>
    </row>
    <row r="3" spans="1:23" ht="15.75" customHeight="1" x14ac:dyDescent="0.25">
      <c r="A3" s="547"/>
      <c r="B3" s="296"/>
      <c r="C3" s="296"/>
      <c r="D3" s="296"/>
      <c r="E3" s="296"/>
      <c r="F3" s="296"/>
      <c r="G3" s="296"/>
      <c r="H3" s="296"/>
      <c r="I3" s="296"/>
      <c r="J3" s="296"/>
      <c r="K3" s="296"/>
      <c r="L3" s="296"/>
      <c r="M3" s="375"/>
      <c r="S3" s="366"/>
      <c r="T3" s="364"/>
    </row>
    <row r="4" spans="1:23" ht="15.75" thickBot="1" x14ac:dyDescent="0.3">
      <c r="A4" s="548"/>
      <c r="B4" s="296"/>
      <c r="C4" s="296"/>
      <c r="D4" s="296"/>
      <c r="E4" s="296"/>
      <c r="F4" s="296"/>
      <c r="G4" s="296"/>
      <c r="H4" s="296"/>
      <c r="I4" s="296"/>
      <c r="J4" s="296"/>
      <c r="K4" s="296"/>
      <c r="L4" s="296"/>
      <c r="M4" s="375"/>
      <c r="S4" s="364">
        <v>35</v>
      </c>
      <c r="T4" s="362">
        <v>25</v>
      </c>
    </row>
    <row r="5" spans="1:23" x14ac:dyDescent="0.25">
      <c r="A5" s="376"/>
      <c r="B5" s="367" t="s">
        <v>150</v>
      </c>
      <c r="C5" s="367" t="s">
        <v>151</v>
      </c>
      <c r="D5" s="367" t="s">
        <v>152</v>
      </c>
      <c r="E5" s="367" t="s">
        <v>153</v>
      </c>
      <c r="F5" s="367" t="s">
        <v>154</v>
      </c>
      <c r="G5" s="367" t="s">
        <v>155</v>
      </c>
      <c r="H5" s="367" t="s">
        <v>156</v>
      </c>
      <c r="I5" s="367" t="s">
        <v>157</v>
      </c>
      <c r="J5" s="367" t="s">
        <v>158</v>
      </c>
      <c r="K5" s="367" t="s">
        <v>159</v>
      </c>
      <c r="L5" s="367" t="s">
        <v>160</v>
      </c>
      <c r="M5" s="377" t="s">
        <v>161</v>
      </c>
      <c r="S5" s="364">
        <v>50</v>
      </c>
      <c r="T5" s="362">
        <v>25</v>
      </c>
    </row>
    <row r="6" spans="1:23" ht="15.75" thickBot="1" x14ac:dyDescent="0.3">
      <c r="A6" s="378">
        <v>1</v>
      </c>
      <c r="B6" s="360">
        <v>2</v>
      </c>
      <c r="C6" s="360">
        <v>3</v>
      </c>
      <c r="D6" s="360">
        <v>4</v>
      </c>
      <c r="E6" s="360">
        <v>5</v>
      </c>
      <c r="F6" s="360">
        <v>6</v>
      </c>
      <c r="G6" s="360">
        <v>7</v>
      </c>
      <c r="H6" s="360">
        <v>8</v>
      </c>
      <c r="I6" s="360">
        <v>9</v>
      </c>
      <c r="J6" s="360">
        <v>10</v>
      </c>
      <c r="K6" s="360">
        <v>11</v>
      </c>
      <c r="L6" s="360">
        <v>12</v>
      </c>
      <c r="M6" s="379">
        <v>13</v>
      </c>
      <c r="S6" s="364">
        <v>70</v>
      </c>
      <c r="T6" s="362">
        <v>35</v>
      </c>
    </row>
    <row r="7" spans="1:23" ht="15.75" customHeight="1" thickBot="1" x14ac:dyDescent="0.3">
      <c r="A7" s="376"/>
      <c r="B7" s="539" t="s">
        <v>139</v>
      </c>
      <c r="C7" s="540"/>
      <c r="D7" s="540"/>
      <c r="E7" s="540"/>
      <c r="F7" s="540"/>
      <c r="G7" s="540"/>
      <c r="H7" s="540"/>
      <c r="I7" s="540"/>
      <c r="J7" s="540"/>
      <c r="K7" s="540"/>
      <c r="L7" s="540"/>
      <c r="M7" s="559"/>
      <c r="S7" s="364">
        <v>95</v>
      </c>
      <c r="T7" s="362">
        <v>50</v>
      </c>
      <c r="U7" s="302"/>
    </row>
    <row r="8" spans="1:23" ht="15.75" thickBot="1" x14ac:dyDescent="0.3">
      <c r="A8" s="376"/>
      <c r="B8" s="367">
        <v>2</v>
      </c>
      <c r="C8" s="367">
        <v>3</v>
      </c>
      <c r="D8" s="367">
        <v>2</v>
      </c>
      <c r="E8" s="367">
        <v>3</v>
      </c>
      <c r="F8" s="367">
        <v>2</v>
      </c>
      <c r="G8" s="367">
        <v>3</v>
      </c>
      <c r="H8" s="367">
        <v>2</v>
      </c>
      <c r="I8" s="367">
        <v>3</v>
      </c>
      <c r="J8" s="367">
        <v>2</v>
      </c>
      <c r="K8" s="367">
        <v>3</v>
      </c>
      <c r="L8" s="367">
        <v>2</v>
      </c>
      <c r="M8" s="377">
        <v>3</v>
      </c>
      <c r="S8" s="364">
        <v>120</v>
      </c>
      <c r="T8" s="362">
        <v>70</v>
      </c>
    </row>
    <row r="9" spans="1:23" x14ac:dyDescent="0.25">
      <c r="A9" s="380">
        <v>240</v>
      </c>
      <c r="B9" s="300">
        <v>424</v>
      </c>
      <c r="C9" s="280">
        <v>380</v>
      </c>
      <c r="D9" s="280">
        <v>386</v>
      </c>
      <c r="E9" s="280">
        <v>346</v>
      </c>
      <c r="F9" s="280">
        <v>546</v>
      </c>
      <c r="G9" s="280">
        <v>481</v>
      </c>
      <c r="H9" s="280">
        <v>462</v>
      </c>
      <c r="I9" s="280">
        <v>407</v>
      </c>
      <c r="J9" s="280">
        <v>599</v>
      </c>
      <c r="K9" s="280">
        <v>500</v>
      </c>
      <c r="L9" s="280">
        <v>419</v>
      </c>
      <c r="M9" s="381">
        <v>351</v>
      </c>
      <c r="N9">
        <f>A9-A10</f>
        <v>55</v>
      </c>
      <c r="S9" s="364">
        <v>150</v>
      </c>
      <c r="T9" s="362">
        <v>70</v>
      </c>
      <c r="W9" s="298"/>
    </row>
    <row r="10" spans="1:23" x14ac:dyDescent="0.25">
      <c r="A10" s="382">
        <v>185</v>
      </c>
      <c r="B10" s="293">
        <v>362</v>
      </c>
      <c r="C10" s="360">
        <v>324</v>
      </c>
      <c r="D10" s="360">
        <v>329</v>
      </c>
      <c r="E10" s="360">
        <v>295</v>
      </c>
      <c r="F10" s="360">
        <v>464</v>
      </c>
      <c r="G10" s="360">
        <v>408</v>
      </c>
      <c r="H10" s="360">
        <v>395</v>
      </c>
      <c r="I10" s="360">
        <v>348</v>
      </c>
      <c r="J10" s="360">
        <v>506</v>
      </c>
      <c r="K10" s="360">
        <v>424</v>
      </c>
      <c r="L10" s="360">
        <v>363</v>
      </c>
      <c r="M10" s="379">
        <v>304</v>
      </c>
      <c r="N10">
        <f t="shared" ref="N10:N25" si="0">A10-A11</f>
        <v>35</v>
      </c>
      <c r="S10" s="364">
        <v>185</v>
      </c>
      <c r="T10" s="362">
        <v>95</v>
      </c>
      <c r="W10" s="298"/>
    </row>
    <row r="11" spans="1:23" x14ac:dyDescent="0.25">
      <c r="A11" s="382">
        <v>150</v>
      </c>
      <c r="B11" s="293">
        <v>318</v>
      </c>
      <c r="C11" s="360">
        <v>285</v>
      </c>
      <c r="D11" s="360">
        <v>290</v>
      </c>
      <c r="E11" s="360">
        <v>259</v>
      </c>
      <c r="F11" s="360">
        <v>407</v>
      </c>
      <c r="G11" s="360">
        <v>358</v>
      </c>
      <c r="H11" s="360">
        <v>349</v>
      </c>
      <c r="I11" s="360">
        <v>307</v>
      </c>
      <c r="J11" s="360">
        <v>441</v>
      </c>
      <c r="K11" s="360">
        <v>371</v>
      </c>
      <c r="L11" s="360">
        <v>324</v>
      </c>
      <c r="M11" s="379">
        <v>271</v>
      </c>
      <c r="N11">
        <f t="shared" si="0"/>
        <v>30</v>
      </c>
      <c r="S11" s="364">
        <v>240</v>
      </c>
      <c r="T11" s="362">
        <v>120</v>
      </c>
      <c r="W11" s="298"/>
    </row>
    <row r="12" spans="1:23" x14ac:dyDescent="0.25">
      <c r="A12" s="382">
        <v>120</v>
      </c>
      <c r="B12" s="293">
        <v>278</v>
      </c>
      <c r="C12" s="360">
        <v>249</v>
      </c>
      <c r="D12" s="360">
        <v>253</v>
      </c>
      <c r="E12" s="360">
        <v>227</v>
      </c>
      <c r="F12" s="360">
        <v>354</v>
      </c>
      <c r="G12" s="360">
        <v>312</v>
      </c>
      <c r="H12" s="360">
        <v>305</v>
      </c>
      <c r="I12" s="360">
        <v>268</v>
      </c>
      <c r="J12" s="360">
        <v>382</v>
      </c>
      <c r="K12" s="360">
        <v>322</v>
      </c>
      <c r="L12" s="360">
        <v>287</v>
      </c>
      <c r="M12" s="379">
        <v>240</v>
      </c>
      <c r="N12">
        <f t="shared" si="0"/>
        <v>25</v>
      </c>
      <c r="S12" s="364">
        <v>300</v>
      </c>
      <c r="T12" s="362">
        <v>150</v>
      </c>
      <c r="W12" s="298"/>
    </row>
    <row r="13" spans="1:23" x14ac:dyDescent="0.25">
      <c r="A13" s="382">
        <v>95</v>
      </c>
      <c r="B13" s="293">
        <v>241</v>
      </c>
      <c r="C13" s="360">
        <v>216</v>
      </c>
      <c r="D13" s="360">
        <v>220</v>
      </c>
      <c r="E13" s="360">
        <v>197</v>
      </c>
      <c r="F13" s="360">
        <v>306</v>
      </c>
      <c r="G13" s="360">
        <v>269</v>
      </c>
      <c r="H13" s="360">
        <v>265</v>
      </c>
      <c r="I13" s="360">
        <v>233</v>
      </c>
      <c r="J13" s="360">
        <v>328</v>
      </c>
      <c r="K13" s="360">
        <v>278</v>
      </c>
      <c r="L13" s="360">
        <v>252</v>
      </c>
      <c r="M13" s="379">
        <v>211</v>
      </c>
      <c r="N13">
        <f t="shared" si="0"/>
        <v>25</v>
      </c>
      <c r="R13" s="301"/>
      <c r="S13" s="364">
        <v>400</v>
      </c>
      <c r="T13" s="362">
        <v>185</v>
      </c>
      <c r="W13" s="298"/>
    </row>
    <row r="14" spans="1:23" x14ac:dyDescent="0.25">
      <c r="A14" s="382">
        <v>70</v>
      </c>
      <c r="B14" s="293">
        <v>200</v>
      </c>
      <c r="C14" s="360">
        <v>179</v>
      </c>
      <c r="D14" s="360">
        <v>183</v>
      </c>
      <c r="E14" s="360">
        <v>164</v>
      </c>
      <c r="F14" s="360">
        <v>253</v>
      </c>
      <c r="G14" s="360">
        <v>222</v>
      </c>
      <c r="H14" s="360">
        <v>221</v>
      </c>
      <c r="I14" s="360">
        <v>194</v>
      </c>
      <c r="J14" s="360">
        <v>269</v>
      </c>
      <c r="K14" s="360">
        <v>229</v>
      </c>
      <c r="L14" s="360">
        <v>213</v>
      </c>
      <c r="M14" s="379">
        <v>178</v>
      </c>
      <c r="N14">
        <f t="shared" si="0"/>
        <v>20</v>
      </c>
      <c r="S14" s="298"/>
      <c r="T14" s="297"/>
      <c r="W14" s="298"/>
    </row>
    <row r="15" spans="1:23" x14ac:dyDescent="0.25">
      <c r="A15" s="382">
        <v>50</v>
      </c>
      <c r="B15" s="293">
        <v>158</v>
      </c>
      <c r="C15" s="360">
        <v>141</v>
      </c>
      <c r="D15" s="360">
        <v>145</v>
      </c>
      <c r="E15" s="360">
        <v>130</v>
      </c>
      <c r="F15" s="360">
        <v>198</v>
      </c>
      <c r="G15" s="360">
        <v>175</v>
      </c>
      <c r="H15" s="360">
        <v>175</v>
      </c>
      <c r="I15" s="360">
        <v>154</v>
      </c>
      <c r="J15" s="360">
        <v>209</v>
      </c>
      <c r="K15" s="360">
        <v>179</v>
      </c>
      <c r="L15" s="360">
        <v>173</v>
      </c>
      <c r="M15" s="379">
        <v>144</v>
      </c>
      <c r="N15">
        <f t="shared" si="0"/>
        <v>15</v>
      </c>
      <c r="S15" s="538" t="s">
        <v>181</v>
      </c>
      <c r="T15" s="538"/>
      <c r="W15" s="298"/>
    </row>
    <row r="16" spans="1:23" ht="30" x14ac:dyDescent="0.25">
      <c r="A16" s="382">
        <v>35</v>
      </c>
      <c r="B16" s="293">
        <v>131</v>
      </c>
      <c r="C16" s="360">
        <v>117</v>
      </c>
      <c r="D16" s="360">
        <v>121</v>
      </c>
      <c r="E16" s="360">
        <v>109</v>
      </c>
      <c r="F16" s="360">
        <v>164</v>
      </c>
      <c r="G16" s="360">
        <v>144</v>
      </c>
      <c r="H16" s="360">
        <v>146</v>
      </c>
      <c r="I16" s="360">
        <v>128</v>
      </c>
      <c r="J16" s="360">
        <v>171</v>
      </c>
      <c r="K16" s="360">
        <v>147</v>
      </c>
      <c r="L16" s="360">
        <v>146</v>
      </c>
      <c r="M16" s="379">
        <v>122</v>
      </c>
      <c r="N16">
        <f t="shared" si="0"/>
        <v>10</v>
      </c>
      <c r="S16" s="303" t="s">
        <v>178</v>
      </c>
      <c r="T16" s="303" t="s">
        <v>179</v>
      </c>
      <c r="W16" s="298"/>
    </row>
    <row r="17" spans="1:23" x14ac:dyDescent="0.25">
      <c r="A17" s="382">
        <v>25</v>
      </c>
      <c r="B17" s="293">
        <v>106</v>
      </c>
      <c r="C17" s="360">
        <v>95</v>
      </c>
      <c r="D17" s="360">
        <v>99</v>
      </c>
      <c r="E17" s="360">
        <v>89</v>
      </c>
      <c r="F17" s="360">
        <v>133</v>
      </c>
      <c r="G17" s="360">
        <v>117</v>
      </c>
      <c r="H17" s="360">
        <v>119</v>
      </c>
      <c r="I17" s="360">
        <v>105</v>
      </c>
      <c r="J17" s="360">
        <v>138</v>
      </c>
      <c r="K17" s="360">
        <v>119</v>
      </c>
      <c r="L17" s="360">
        <v>121</v>
      </c>
      <c r="M17" s="379">
        <v>101</v>
      </c>
      <c r="N17">
        <f t="shared" si="0"/>
        <v>9</v>
      </c>
      <c r="S17" s="169" t="s">
        <v>183</v>
      </c>
      <c r="T17" s="169" t="s">
        <v>173</v>
      </c>
      <c r="W17" s="298"/>
    </row>
    <row r="18" spans="1:23" x14ac:dyDescent="0.25">
      <c r="A18" s="382">
        <v>16</v>
      </c>
      <c r="B18" s="293">
        <v>81</v>
      </c>
      <c r="C18" s="360">
        <v>73</v>
      </c>
      <c r="D18" s="360">
        <v>76</v>
      </c>
      <c r="E18" s="360">
        <v>68</v>
      </c>
      <c r="F18" s="360">
        <v>100</v>
      </c>
      <c r="G18" s="360">
        <v>88</v>
      </c>
      <c r="H18" s="360">
        <v>91</v>
      </c>
      <c r="I18" s="360">
        <v>80</v>
      </c>
      <c r="J18" s="360">
        <v>107</v>
      </c>
      <c r="K18" s="360">
        <v>96</v>
      </c>
      <c r="L18" s="360">
        <v>95</v>
      </c>
      <c r="M18" s="379">
        <v>79</v>
      </c>
      <c r="N18">
        <f t="shared" si="0"/>
        <v>6</v>
      </c>
      <c r="S18" s="169" t="s">
        <v>184</v>
      </c>
      <c r="T18" s="169">
        <v>16</v>
      </c>
      <c r="W18" s="298"/>
    </row>
    <row r="19" spans="1:23" x14ac:dyDescent="0.25">
      <c r="A19" s="382">
        <v>10</v>
      </c>
      <c r="B19" s="293">
        <v>61</v>
      </c>
      <c r="C19" s="360">
        <v>54</v>
      </c>
      <c r="D19" s="360">
        <v>57</v>
      </c>
      <c r="E19" s="360">
        <v>51</v>
      </c>
      <c r="F19" s="360">
        <v>75</v>
      </c>
      <c r="G19" s="360">
        <v>66</v>
      </c>
      <c r="H19" s="360">
        <v>69</v>
      </c>
      <c r="I19" s="360">
        <v>60</v>
      </c>
      <c r="J19" s="360">
        <v>80</v>
      </c>
      <c r="K19" s="360">
        <v>71</v>
      </c>
      <c r="L19" s="360">
        <v>73</v>
      </c>
      <c r="M19" s="379">
        <v>61</v>
      </c>
      <c r="N19">
        <f t="shared" si="0"/>
        <v>4</v>
      </c>
      <c r="S19" s="169" t="s">
        <v>185</v>
      </c>
      <c r="T19" s="304" t="s">
        <v>186</v>
      </c>
      <c r="W19" s="298"/>
    </row>
    <row r="20" spans="1:23" x14ac:dyDescent="0.25">
      <c r="A20" s="382">
        <v>6</v>
      </c>
      <c r="B20" s="293">
        <v>45</v>
      </c>
      <c r="C20" s="360">
        <v>40</v>
      </c>
      <c r="D20" s="360">
        <v>42</v>
      </c>
      <c r="E20" s="360">
        <v>38</v>
      </c>
      <c r="F20" s="360">
        <v>54</v>
      </c>
      <c r="G20" s="360">
        <v>48</v>
      </c>
      <c r="H20" s="360">
        <v>51</v>
      </c>
      <c r="I20" s="360">
        <v>44</v>
      </c>
      <c r="J20" s="360">
        <v>58</v>
      </c>
      <c r="K20" s="360">
        <v>52</v>
      </c>
      <c r="L20" s="360">
        <v>56</v>
      </c>
      <c r="M20" s="379">
        <v>46</v>
      </c>
      <c r="N20">
        <f t="shared" si="0"/>
        <v>2</v>
      </c>
      <c r="P20" s="294"/>
      <c r="W20" s="298"/>
    </row>
    <row r="21" spans="1:23" x14ac:dyDescent="0.25">
      <c r="A21" s="382">
        <v>4</v>
      </c>
      <c r="B21" s="293">
        <v>35</v>
      </c>
      <c r="C21" s="360">
        <v>31</v>
      </c>
      <c r="D21" s="360">
        <v>33</v>
      </c>
      <c r="E21" s="360">
        <v>30</v>
      </c>
      <c r="F21" s="360">
        <v>42</v>
      </c>
      <c r="G21" s="360">
        <v>37</v>
      </c>
      <c r="H21" s="360">
        <v>40</v>
      </c>
      <c r="I21" s="360">
        <v>35</v>
      </c>
      <c r="J21" s="360">
        <v>45</v>
      </c>
      <c r="K21" s="360">
        <v>40</v>
      </c>
      <c r="L21" s="360">
        <v>44</v>
      </c>
      <c r="M21" s="379">
        <v>37</v>
      </c>
      <c r="N21">
        <f t="shared" si="0"/>
        <v>1.5</v>
      </c>
      <c r="O21" s="400" t="s">
        <v>200</v>
      </c>
      <c r="P21" s="2"/>
    </row>
    <row r="22" spans="1:23" x14ac:dyDescent="0.25">
      <c r="A22" s="382">
        <v>2.5</v>
      </c>
      <c r="B22" s="293">
        <v>26</v>
      </c>
      <c r="C22" s="360">
        <v>23</v>
      </c>
      <c r="D22" s="360">
        <v>25</v>
      </c>
      <c r="E22" s="360">
        <v>22</v>
      </c>
      <c r="F22" s="360">
        <v>31</v>
      </c>
      <c r="G22" s="360">
        <v>28</v>
      </c>
      <c r="H22" s="360">
        <v>30</v>
      </c>
      <c r="I22" s="360">
        <v>26</v>
      </c>
      <c r="J22" s="360">
        <v>33</v>
      </c>
      <c r="K22" s="360">
        <v>30</v>
      </c>
      <c r="L22" s="360">
        <v>34</v>
      </c>
      <c r="M22" s="379">
        <v>29</v>
      </c>
      <c r="N22">
        <f t="shared" si="0"/>
        <v>1</v>
      </c>
      <c r="O22" s="400">
        <f>INDEX(Dimensionamento!C5,1)</f>
        <v>1</v>
      </c>
      <c r="P22" s="2"/>
    </row>
    <row r="23" spans="1:23" x14ac:dyDescent="0.25">
      <c r="A23" s="382">
        <v>1.5</v>
      </c>
      <c r="B23" s="293">
        <v>19</v>
      </c>
      <c r="C23" s="360">
        <v>17</v>
      </c>
      <c r="D23" s="360">
        <v>18.5</v>
      </c>
      <c r="E23" s="360">
        <v>16.5</v>
      </c>
      <c r="F23" s="360">
        <v>23</v>
      </c>
      <c r="G23" s="360">
        <v>20</v>
      </c>
      <c r="H23" s="360">
        <v>22</v>
      </c>
      <c r="I23" s="360">
        <v>19.5</v>
      </c>
      <c r="J23" s="360">
        <v>24</v>
      </c>
      <c r="K23" s="360">
        <v>22</v>
      </c>
      <c r="L23" s="360">
        <v>26</v>
      </c>
      <c r="M23" s="379">
        <v>22</v>
      </c>
      <c r="N23">
        <f t="shared" si="0"/>
        <v>0.5</v>
      </c>
      <c r="O23" s="401" t="s">
        <v>300</v>
      </c>
      <c r="P23" s="362" t="str">
        <f>Dimensionamento!X5</f>
        <v>D (3)</v>
      </c>
      <c r="R23" s="404" t="s">
        <v>317</v>
      </c>
      <c r="S23" s="363">
        <f>O22</f>
        <v>1</v>
      </c>
    </row>
    <row r="24" spans="1:23" x14ac:dyDescent="0.25">
      <c r="A24" s="382">
        <v>1</v>
      </c>
      <c r="B24" s="293">
        <v>15</v>
      </c>
      <c r="C24" s="360">
        <v>13</v>
      </c>
      <c r="D24" s="360">
        <v>14</v>
      </c>
      <c r="E24" s="360">
        <v>13</v>
      </c>
      <c r="F24" s="360">
        <v>18</v>
      </c>
      <c r="G24" s="360">
        <v>16</v>
      </c>
      <c r="H24" s="360">
        <v>17</v>
      </c>
      <c r="I24" s="360">
        <v>15</v>
      </c>
      <c r="J24" s="360">
        <v>19</v>
      </c>
      <c r="K24" s="360">
        <v>17</v>
      </c>
      <c r="L24" s="360">
        <v>21</v>
      </c>
      <c r="M24" s="379">
        <v>17</v>
      </c>
      <c r="N24">
        <f t="shared" si="0"/>
        <v>0.25</v>
      </c>
      <c r="O24" s="401" t="s">
        <v>301</v>
      </c>
      <c r="P24" s="362">
        <f>INDEX($B$6:$M$6,MATCH(P23,B5:M5,0))</f>
        <v>13</v>
      </c>
      <c r="R24" s="401" t="s">
        <v>299</v>
      </c>
      <c r="S24" s="362" t="str">
        <f>Dimensionamento!V5</f>
        <v>Sim</v>
      </c>
    </row>
    <row r="25" spans="1:23" x14ac:dyDescent="0.25">
      <c r="A25" s="382">
        <v>0.75</v>
      </c>
      <c r="B25" s="293">
        <v>12</v>
      </c>
      <c r="C25" s="360">
        <v>11</v>
      </c>
      <c r="D25" s="360">
        <v>12</v>
      </c>
      <c r="E25" s="360">
        <v>11</v>
      </c>
      <c r="F25" s="360">
        <v>15</v>
      </c>
      <c r="G25" s="360">
        <v>13</v>
      </c>
      <c r="H25" s="360">
        <v>15</v>
      </c>
      <c r="I25" s="360">
        <v>13</v>
      </c>
      <c r="J25" s="360">
        <v>16</v>
      </c>
      <c r="K25" s="360">
        <v>14</v>
      </c>
      <c r="L25" s="360">
        <v>18</v>
      </c>
      <c r="M25" s="379">
        <v>15</v>
      </c>
      <c r="N25">
        <f t="shared" si="0"/>
        <v>0.25</v>
      </c>
      <c r="O25" s="401" t="s">
        <v>302</v>
      </c>
      <c r="P25" s="402">
        <f>Dimensionamento!AA5+1</f>
        <v>197.62083470854131</v>
      </c>
      <c r="R25" s="401" t="s">
        <v>298</v>
      </c>
      <c r="S25" s="362" t="str">
        <f>Dimensionamento!W5</f>
        <v>2 Vias</v>
      </c>
    </row>
    <row r="26" spans="1:23" ht="15.75" thickBot="1" x14ac:dyDescent="0.3">
      <c r="A26" s="383">
        <v>0.5</v>
      </c>
      <c r="B26" s="293">
        <v>10</v>
      </c>
      <c r="C26" s="360">
        <v>9</v>
      </c>
      <c r="D26" s="360">
        <v>10</v>
      </c>
      <c r="E26" s="360">
        <v>9</v>
      </c>
      <c r="F26" s="360">
        <v>12</v>
      </c>
      <c r="G26" s="360">
        <v>10</v>
      </c>
      <c r="H26" s="360">
        <v>11</v>
      </c>
      <c r="I26" s="360">
        <v>10</v>
      </c>
      <c r="J26" s="360">
        <v>12</v>
      </c>
      <c r="K26" s="360">
        <v>11</v>
      </c>
      <c r="L26" s="360">
        <v>14</v>
      </c>
      <c r="M26" s="379">
        <v>12</v>
      </c>
      <c r="N26" s="421">
        <v>0</v>
      </c>
      <c r="O26" s="401" t="s">
        <v>303</v>
      </c>
      <c r="P26" s="362">
        <f>_xlfn.IFS(Ref_p_local_circuito_1=2,INDEX($A$9:$A$26,MATCH(Corrente_corrigida_circuito_1,$B$9:$B$26,-1)),Ref_p_local_circuito_1=3,INDEX($A$9:$A$26,MATCH(Corrente_corrigida_circuito_1,$C$9:$C$26,-1)),Ref_p_local_circuito_1=4,INDEX($A$9:$A$26,MATCH(Corrente_corrigida_circuito_1,$D$9:$D$26,-1)),Ref_p_local_circuito_1=5,INDEX($A$9:$A$26,MATCH(Corrente_corrigida_circuito_1,$E$9:$E$26,-1)),Ref_p_local_circuito_1=6,INDEX($A$9:$A$26,MATCH(Corrente_corrigida_circuito_1,$F$9:$F$26,-1)),Ref_p_local_circuito_1=7,INDEX($A$9:$A$26,MATCH(Corrente_corrigida_circuito_1,$G$9:$G$26,-1)),Ref_p_local_circuito_1=8,INDEX($A$9:$A$26,MATCH(Corrente_corrigida_circuito_1,H9:H26,-1)),Ref_p_local_circuito_1=9,INDEX($A$9:$A$26,MATCH(Corrente_corrigida_circuito_1,$I$9:$I$26,-1)),Ref_p_local_circuito_1=10,INDEX($A$9:$A$26,MATCH(Corrente_corrigida_circuito_1,$J$9:$J$26,-1)),Ref_p_local_circuito_1=11,INDEX($A$9:$A$26,MATCH(Corrente_corrigida_circuito_1,$K$9:$K$26,-1)),Ref_p_local_circuito_1=12,INDEX($A$9:$A$26,MATCH(Corrente_corrigida_circuito_1,$L$9:$L$26,-1)),Ref_p_local_circuito_1=13,INDEX($A$9:$A$26,MATCH(Corrente_corrigida_circuito_1,$M$9:$M$26,-1)))</f>
        <v>95</v>
      </c>
      <c r="R26" s="401" t="s">
        <v>309</v>
      </c>
      <c r="S26" s="362" t="str">
        <f>IF(S24="Sim",_xlfn.IFS(Ref_p_local_circuito_1=2,INDEX($A$38:$A$55,MATCH(Corrente_corrigida_circuito_1,$B$38:$B$55,-1)),Ref_p_local_circuito_1=3,INDEX($A$38:$A$55,MATCH(Corrente_corrigida_circuito_1,$C$38:$C$55,-1)),Ref_p_local_circuito_1=4,INDEX($A$38:$A$55,MATCH(Corrente_corrigida_circuito_1,$D$38:$D$55,-1)),Ref_p_local_circuito_1=5,INDEX($A$38:$A$55,MATCH(Corrente_corrigida_circuito_1,$E$38:$E$55,-1)),Ref_p_local_circuito_1=6,INDEX($A$38:$A$55,MATCH(Corrente_corrigida_circuito_1,$F$38:$F$55,-1)),Ref_p_local_circuito_1=7,INDEX($A$38:$A$55,MATCH(Corrente_corrigida_circuito_1,$G$38:$G$55,-1)),Ref_p_local_circuito_1=8,INDEX($A$38:$A$55,MATCH(Corrente_corrigida_circuito_1,H38:H55,-1)),Ref_p_local_circuito_1=9,INDEX($A$38:$A$55,MATCH(Corrente_corrigida_circuito_1,$I$38:$I$55,-1)),Ref_p_local_circuito_1=10,INDEX($A$38:$A$55,MATCH(Corrente_corrigida_circuito_1,$J$38:$J$55,-1)),Ref_p_local_circuito_1=11,INDEX($A$38:$A$55,MATCH(Corrente_corrigida_circuito_1,$K$38:$K$55,-1)),Ref_p_local_circuito_1=12,INDEX($A$38:$A$55,MATCH(Corrente_corrigida_circuito_1,$L$38:$L$55,-1)),Ref_p_local_circuito_1=13,INDEX($A$38:$A$55,MATCH(Corrente_corrigida_circuito_1,$M$38:$M$55,-1))),"Sem divisão de fases")</f>
        <v>2x25</v>
      </c>
    </row>
    <row r="27" spans="1:23" ht="15.75" thickBot="1" x14ac:dyDescent="0.3">
      <c r="A27" s="554" t="s">
        <v>141</v>
      </c>
      <c r="B27" s="543"/>
      <c r="C27" s="543"/>
      <c r="D27" s="543"/>
      <c r="E27" s="543"/>
      <c r="F27" s="543"/>
      <c r="G27" s="543"/>
      <c r="H27" s="543"/>
      <c r="I27" s="543"/>
      <c r="J27" s="543"/>
      <c r="K27" s="543"/>
      <c r="L27" s="543"/>
      <c r="M27" s="555"/>
      <c r="O27" s="401" t="s">
        <v>304</v>
      </c>
      <c r="P27" s="362"/>
      <c r="R27" s="401" t="s">
        <v>310</v>
      </c>
      <c r="S27" s="362">
        <f>INDEX(B38:M55,MATCH(S26,A38:A55,0),MATCH(P23,B34:M34,0))</f>
        <v>202</v>
      </c>
    </row>
    <row r="28" spans="1:23" ht="15.75" thickBot="1" x14ac:dyDescent="0.3">
      <c r="A28" s="560" t="s">
        <v>175</v>
      </c>
      <c r="B28" s="561"/>
      <c r="C28" s="561"/>
      <c r="D28" s="561"/>
      <c r="E28" s="561"/>
      <c r="F28" s="561"/>
      <c r="G28" s="561"/>
      <c r="H28" s="561"/>
      <c r="I28" s="561"/>
      <c r="J28" s="561"/>
      <c r="K28" s="561"/>
      <c r="L28" s="561"/>
      <c r="M28" s="562"/>
      <c r="O28" s="401" t="s">
        <v>305</v>
      </c>
      <c r="P28" s="362">
        <f>_xlfn.IFS(AND($P$30="Sem correção",S30=""),P26,AND(P30="Sem correção",S30=S30),S30,P30=INDEX(A9:A26,MATCH(P30,A9:A26,0)),P30)</f>
        <v>95</v>
      </c>
    </row>
    <row r="29" spans="1:23" ht="15.75" thickBot="1" x14ac:dyDescent="0.3">
      <c r="A29" s="374"/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O29" s="401" t="s">
        <v>296</v>
      </c>
      <c r="P29" s="362">
        <f>Dimensionamento!AI5</f>
        <v>200</v>
      </c>
      <c r="R29" s="422" t="s">
        <v>67</v>
      </c>
      <c r="S29" s="419">
        <f>ΔV_cobre!O14</f>
        <v>0.56141250188704916</v>
      </c>
    </row>
    <row r="30" spans="1:23" ht="15.75" thickBot="1" x14ac:dyDescent="0.3">
      <c r="A30" s="549" t="s">
        <v>140</v>
      </c>
      <c r="B30" s="551" t="s">
        <v>138</v>
      </c>
      <c r="C30" s="552"/>
      <c r="D30" s="552"/>
      <c r="E30" s="552"/>
      <c r="F30" s="552"/>
      <c r="G30" s="552"/>
      <c r="H30" s="552"/>
      <c r="I30" s="552"/>
      <c r="J30" s="552"/>
      <c r="K30" s="552"/>
      <c r="L30" s="552"/>
      <c r="M30" s="553"/>
      <c r="O30" s="401" t="s">
        <v>306</v>
      </c>
      <c r="P30" s="362" t="str">
        <f>IF(P35&lt;P29,_xlfn.IFS(Ref_p_local_circuito_1=2,INDEX($A$9:$A$26,MATCH(Corrente_disjuntor_circuito_1,$B$9:$B$26,-1)),Ref_p_local_circuito_1=3,INDEX($A$9:$A$26,MATCH(Corrente_disjuntor_circuito_1,$C$9:$C$26,-1)),Ref_p_local_circuito_1=4,INDEX($A$9:$A$26,MATCH(Corrente_disjuntor_circuito_1,$D$9:$D$26,-1)),Ref_p_local_circuito_1=5,INDEX($A$9:$A$26,MATCH(Corrente_disjuntor_circuito_1,$E$9:$E$26,-1)),Ref_p_local_circuito_1=6,INDEX($A$9:$A$26,MATCH(Corrente_disjuntor_circuito_1,$F$9:$F$26,-1)),Ref_p_local_circuito_1=7,INDEX($A$9:$A$26,MATCH(Corrente_disjuntor_circuito_1,$G$9:$G$26,-1)),Ref_p_local_circuito_1=8,INDEX($A$9:$A$26,MATCH(Corrente_disjuntor_circuito_1,H9:H26,-1)),Ref_p_local_circuito_1=9,INDEX($A$9:$A$26,MATCH(Corrente_corrigida_circuito_1,$I$9:$I$26,-1)),Ref_p_local_circuito_1=10,INDEX($A$9:$A$26,MATCH(Corrente_corrigida_circuito_1,$J$9:$J$26,-1)),Ref_p_local_circuito_1=11,INDEX($A$9:$A$26,MATCH(Corrente_corrigida_circuito_1,$K$9:$K$26,-1)),Ref_p_local_circuito_1=12,INDEX($A$9:$A$26,MATCH(Corrente_disjuntor_circuito_1,$L$9:$L$26,-1)),Ref_p_local_circuito_1=13,INDEX($A$9:$A$26,MATCH(Corrente_disjuntor_circuito_1,$M$9:$M$26,-1))),"Sem correção")</f>
        <v>Sem correção</v>
      </c>
      <c r="R30" s="423" t="s">
        <v>326</v>
      </c>
      <c r="S30" s="2"/>
    </row>
    <row r="31" spans="1:23" x14ac:dyDescent="0.25">
      <c r="A31" s="549"/>
      <c r="B31" s="296"/>
      <c r="C31" s="296"/>
      <c r="D31" s="296"/>
      <c r="E31" s="296"/>
      <c r="F31" s="296"/>
      <c r="G31" s="296"/>
      <c r="H31" s="296"/>
      <c r="I31" s="296"/>
      <c r="J31" s="296"/>
      <c r="K31" s="296"/>
      <c r="L31" s="296"/>
      <c r="M31" s="372"/>
      <c r="O31" s="401"/>
      <c r="P31" s="362"/>
    </row>
    <row r="32" spans="1:23" x14ac:dyDescent="0.25">
      <c r="A32" s="549"/>
      <c r="B32" s="296"/>
      <c r="C32" s="296"/>
      <c r="D32" s="296"/>
      <c r="E32" s="296"/>
      <c r="F32" s="296"/>
      <c r="G32" s="296"/>
      <c r="H32" s="296"/>
      <c r="I32" s="296"/>
      <c r="J32" s="296"/>
      <c r="K32" s="296"/>
      <c r="L32" s="296"/>
      <c r="M32" s="372"/>
      <c r="O32" s="401" t="s">
        <v>182</v>
      </c>
      <c r="P32" s="362">
        <f>IF(P28&lt;=25,P28,INDEX($T$4:$T$13,MATCH(P28,$S$4:$S$13,0)))</f>
        <v>50</v>
      </c>
    </row>
    <row r="33" spans="1:19" ht="15.75" thickBot="1" x14ac:dyDescent="0.3">
      <c r="A33" s="550"/>
      <c r="B33" s="296"/>
      <c r="C33" s="296"/>
      <c r="D33" s="296"/>
      <c r="E33" s="296"/>
      <c r="F33" s="296"/>
      <c r="G33" s="296"/>
      <c r="H33" s="296"/>
      <c r="I33" s="296"/>
      <c r="J33" s="296"/>
      <c r="K33" s="296"/>
      <c r="L33" s="296"/>
      <c r="M33" s="372"/>
      <c r="O33" s="401" t="s">
        <v>307</v>
      </c>
      <c r="P33" s="362">
        <f>_xlfn.IFS(P28&lt;=16,P28,P28&gt;16,16,P28&lt;=35,16,P28&gt;35,P28/2)</f>
        <v>16</v>
      </c>
    </row>
    <row r="34" spans="1:19" x14ac:dyDescent="0.25">
      <c r="A34" s="295"/>
      <c r="B34" s="367" t="s">
        <v>150</v>
      </c>
      <c r="C34" s="367" t="s">
        <v>151</v>
      </c>
      <c r="D34" s="367" t="s">
        <v>152</v>
      </c>
      <c r="E34" s="367" t="s">
        <v>153</v>
      </c>
      <c r="F34" s="367" t="s">
        <v>154</v>
      </c>
      <c r="G34" s="367" t="s">
        <v>155</v>
      </c>
      <c r="H34" s="367" t="s">
        <v>156</v>
      </c>
      <c r="I34" s="367" t="s">
        <v>157</v>
      </c>
      <c r="J34" s="367" t="s">
        <v>158</v>
      </c>
      <c r="K34" s="367" t="s">
        <v>159</v>
      </c>
      <c r="L34" s="367" t="s">
        <v>160</v>
      </c>
      <c r="M34" s="370" t="s">
        <v>161</v>
      </c>
      <c r="O34" s="2"/>
      <c r="P34" s="362"/>
    </row>
    <row r="35" spans="1:19" ht="15.75" thickBot="1" x14ac:dyDescent="0.3">
      <c r="A35" s="368">
        <v>1</v>
      </c>
      <c r="B35" s="360">
        <v>2</v>
      </c>
      <c r="C35" s="360">
        <v>3</v>
      </c>
      <c r="D35" s="360">
        <v>4</v>
      </c>
      <c r="E35" s="360">
        <v>5</v>
      </c>
      <c r="F35" s="360">
        <v>6</v>
      </c>
      <c r="G35" s="360">
        <v>7</v>
      </c>
      <c r="H35" s="360">
        <v>8</v>
      </c>
      <c r="I35" s="360">
        <v>9</v>
      </c>
      <c r="J35" s="360">
        <v>10</v>
      </c>
      <c r="K35" s="360">
        <v>11</v>
      </c>
      <c r="L35" s="360">
        <v>12</v>
      </c>
      <c r="M35" s="369">
        <v>13</v>
      </c>
      <c r="O35" s="401" t="s">
        <v>311</v>
      </c>
      <c r="P35" s="362">
        <f>INDEX($B$9:$M$26,MATCH($P$26,$A$9:$A$26,0),MATCH($P$23,$B$5:$M$5,0))</f>
        <v>211</v>
      </c>
    </row>
    <row r="36" spans="1:19" ht="30.75" thickBot="1" x14ac:dyDescent="0.3">
      <c r="A36" s="295"/>
      <c r="B36" s="539" t="s">
        <v>139</v>
      </c>
      <c r="C36" s="540"/>
      <c r="D36" s="540"/>
      <c r="E36" s="540"/>
      <c r="F36" s="540"/>
      <c r="G36" s="540"/>
      <c r="H36" s="540"/>
      <c r="I36" s="540"/>
      <c r="J36" s="540"/>
      <c r="K36" s="540"/>
      <c r="L36" s="540"/>
      <c r="M36" s="541"/>
      <c r="O36" s="403" t="s">
        <v>314</v>
      </c>
      <c r="P36" s="362" t="str">
        <f>IF(P30="Sem correção","Sem correção",INDEX($B$9:$M$26,MATCH($P$30,$A$9:$A$26,0),MATCH($P$23,$B$5:$M$5,0)))</f>
        <v>Sem correção</v>
      </c>
    </row>
    <row r="37" spans="1:19" ht="15.75" thickBot="1" x14ac:dyDescent="0.3">
      <c r="A37" s="295"/>
      <c r="B37" s="367">
        <v>2</v>
      </c>
      <c r="C37" s="367">
        <v>3</v>
      </c>
      <c r="D37" s="367">
        <v>2</v>
      </c>
      <c r="E37" s="367">
        <v>3</v>
      </c>
      <c r="F37" s="367">
        <v>2</v>
      </c>
      <c r="G37" s="367">
        <v>3</v>
      </c>
      <c r="H37" s="367">
        <v>2</v>
      </c>
      <c r="I37" s="367">
        <v>3</v>
      </c>
      <c r="J37" s="367">
        <v>2</v>
      </c>
      <c r="K37" s="294">
        <v>3</v>
      </c>
      <c r="L37" s="367">
        <v>2</v>
      </c>
      <c r="M37" s="370">
        <v>3</v>
      </c>
      <c r="O37" s="401" t="s">
        <v>312</v>
      </c>
      <c r="P37" s="362">
        <f>INDEX($B$9:$M$26,MATCH($P$32,$A$9:$A$26,0),MATCH($P$23,$B$5:$M$5,0))</f>
        <v>144</v>
      </c>
    </row>
    <row r="38" spans="1:19" x14ac:dyDescent="0.25">
      <c r="A38" s="290" t="s">
        <v>240</v>
      </c>
      <c r="B38" s="300">
        <f>2*424</f>
        <v>848</v>
      </c>
      <c r="C38" s="280">
        <f>2*380</f>
        <v>760</v>
      </c>
      <c r="D38" s="280">
        <f>2*386</f>
        <v>772</v>
      </c>
      <c r="E38" s="280">
        <f>2*346</f>
        <v>692</v>
      </c>
      <c r="F38" s="280">
        <f>2*546</f>
        <v>1092</v>
      </c>
      <c r="G38" s="280">
        <f>2*481</f>
        <v>962</v>
      </c>
      <c r="H38" s="280">
        <f>2*462</f>
        <v>924</v>
      </c>
      <c r="I38" s="280">
        <f>2*407</f>
        <v>814</v>
      </c>
      <c r="J38" s="280">
        <f>2*599</f>
        <v>1198</v>
      </c>
      <c r="K38" s="280">
        <f>2*500</f>
        <v>1000</v>
      </c>
      <c r="L38" s="280">
        <f>2*419</f>
        <v>838</v>
      </c>
      <c r="M38" s="371">
        <f>2*351</f>
        <v>702</v>
      </c>
      <c r="O38" s="401" t="s">
        <v>313</v>
      </c>
      <c r="P38" s="362">
        <f>INDEX($B$9:$M$26,MATCH($P$33,$A$9:$A$26,0),MATCH($P$23,$B$5:$M$5,0))</f>
        <v>79</v>
      </c>
    </row>
    <row r="39" spans="1:19" x14ac:dyDescent="0.25">
      <c r="A39" s="291" t="s">
        <v>241</v>
      </c>
      <c r="B39" s="293">
        <f>2*362</f>
        <v>724</v>
      </c>
      <c r="C39" s="360">
        <f>2*324</f>
        <v>648</v>
      </c>
      <c r="D39" s="360">
        <f>2*329</f>
        <v>658</v>
      </c>
      <c r="E39" s="360">
        <f>2*295</f>
        <v>590</v>
      </c>
      <c r="F39" s="360">
        <f>2*464</f>
        <v>928</v>
      </c>
      <c r="G39" s="360">
        <f>2*408</f>
        <v>816</v>
      </c>
      <c r="H39" s="360">
        <f>2*395</f>
        <v>790</v>
      </c>
      <c r="I39" s="360">
        <f>2*348</f>
        <v>696</v>
      </c>
      <c r="J39" s="360">
        <f>2*506</f>
        <v>1012</v>
      </c>
      <c r="K39" s="360">
        <f>2*424</f>
        <v>848</v>
      </c>
      <c r="L39" s="360">
        <f>2*363</f>
        <v>726</v>
      </c>
      <c r="M39" s="369">
        <f>2*304</f>
        <v>608</v>
      </c>
    </row>
    <row r="40" spans="1:19" x14ac:dyDescent="0.25">
      <c r="A40" s="291" t="s">
        <v>242</v>
      </c>
      <c r="B40" s="293">
        <f>2*318</f>
        <v>636</v>
      </c>
      <c r="C40" s="360">
        <f>2*285</f>
        <v>570</v>
      </c>
      <c r="D40" s="360">
        <f>2*290</f>
        <v>580</v>
      </c>
      <c r="E40" s="360">
        <f>2*259</f>
        <v>518</v>
      </c>
      <c r="F40" s="360">
        <f>2*407</f>
        <v>814</v>
      </c>
      <c r="G40" s="360">
        <f>2*358</f>
        <v>716</v>
      </c>
      <c r="H40" s="360">
        <f>2*349</f>
        <v>698</v>
      </c>
      <c r="I40" s="360">
        <f>2*307</f>
        <v>614</v>
      </c>
      <c r="J40" s="360">
        <f>2*441</f>
        <v>882</v>
      </c>
      <c r="K40" s="360">
        <f>2*371</f>
        <v>742</v>
      </c>
      <c r="L40" s="360">
        <f>2*324</f>
        <v>648</v>
      </c>
      <c r="M40" s="369">
        <f>2*271</f>
        <v>542</v>
      </c>
      <c r="O40" s="400" t="s">
        <v>200</v>
      </c>
      <c r="P40" s="2"/>
    </row>
    <row r="41" spans="1:19" x14ac:dyDescent="0.25">
      <c r="A41" s="291" t="s">
        <v>243</v>
      </c>
      <c r="B41" s="293">
        <f>2*278</f>
        <v>556</v>
      </c>
      <c r="C41" s="360">
        <f>2*249</f>
        <v>498</v>
      </c>
      <c r="D41" s="360">
        <f>2*253</f>
        <v>506</v>
      </c>
      <c r="E41" s="360">
        <f>2*227</f>
        <v>454</v>
      </c>
      <c r="F41" s="360">
        <f>2*354</f>
        <v>708</v>
      </c>
      <c r="G41" s="360">
        <f>2*312</f>
        <v>624</v>
      </c>
      <c r="H41" s="360">
        <f>2*305</f>
        <v>610</v>
      </c>
      <c r="I41" s="360">
        <f>2*268</f>
        <v>536</v>
      </c>
      <c r="J41" s="360">
        <f>2*382</f>
        <v>764</v>
      </c>
      <c r="K41" s="360">
        <f>2*322</f>
        <v>644</v>
      </c>
      <c r="L41" s="360">
        <f>2*287</f>
        <v>574</v>
      </c>
      <c r="M41" s="369">
        <f>2*240</f>
        <v>480</v>
      </c>
      <c r="O41" s="400">
        <f>INDEX(Dimensionamento!C5:C19,2)</f>
        <v>2</v>
      </c>
      <c r="P41" s="2"/>
    </row>
    <row r="42" spans="1:19" x14ac:dyDescent="0.25">
      <c r="A42" s="291" t="s">
        <v>244</v>
      </c>
      <c r="B42" s="293">
        <f>2*241</f>
        <v>482</v>
      </c>
      <c r="C42" s="360">
        <f>2*216</f>
        <v>432</v>
      </c>
      <c r="D42" s="360">
        <f>2*220</f>
        <v>440</v>
      </c>
      <c r="E42" s="360">
        <f>2*197</f>
        <v>394</v>
      </c>
      <c r="F42" s="360">
        <f>2*306</f>
        <v>612</v>
      </c>
      <c r="G42" s="360">
        <f>2*269</f>
        <v>538</v>
      </c>
      <c r="H42" s="360">
        <f>2*265</f>
        <v>530</v>
      </c>
      <c r="I42" s="360">
        <f>2*233</f>
        <v>466</v>
      </c>
      <c r="J42" s="360">
        <f>2*328</f>
        <v>656</v>
      </c>
      <c r="K42" s="360">
        <f>2*278</f>
        <v>556</v>
      </c>
      <c r="L42" s="360">
        <f>2*252</f>
        <v>504</v>
      </c>
      <c r="M42" s="369">
        <f>2*211</f>
        <v>422</v>
      </c>
      <c r="O42" s="401" t="s">
        <v>300</v>
      </c>
      <c r="P42" s="362" t="s">
        <v>155</v>
      </c>
      <c r="R42" s="404" t="s">
        <v>317</v>
      </c>
      <c r="S42" s="363">
        <f>O41</f>
        <v>2</v>
      </c>
    </row>
    <row r="43" spans="1:19" x14ac:dyDescent="0.25">
      <c r="A43" s="291" t="s">
        <v>245</v>
      </c>
      <c r="B43" s="293">
        <f>2*200</f>
        <v>400</v>
      </c>
      <c r="C43" s="360">
        <f>2*179</f>
        <v>358</v>
      </c>
      <c r="D43" s="360">
        <f>2*183</f>
        <v>366</v>
      </c>
      <c r="E43" s="360">
        <f>2*164</f>
        <v>328</v>
      </c>
      <c r="F43" s="360">
        <f>2*253</f>
        <v>506</v>
      </c>
      <c r="G43" s="360">
        <f>2*222</f>
        <v>444</v>
      </c>
      <c r="H43" s="360">
        <f>2*221</f>
        <v>442</v>
      </c>
      <c r="I43" s="360">
        <f>2*194</f>
        <v>388</v>
      </c>
      <c r="J43" s="360">
        <f>2*269</f>
        <v>538</v>
      </c>
      <c r="K43" s="360">
        <f>2*229</f>
        <v>458</v>
      </c>
      <c r="L43" s="360">
        <f>2*213</f>
        <v>426</v>
      </c>
      <c r="M43" s="369">
        <f>2*178</f>
        <v>356</v>
      </c>
      <c r="O43" s="401" t="s">
        <v>301</v>
      </c>
      <c r="P43" s="362">
        <f>INDEX($B$6:$M$6,MATCH(P42,$B$5:$M$5,0))</f>
        <v>7</v>
      </c>
      <c r="R43" s="401" t="s">
        <v>299</v>
      </c>
      <c r="S43" s="362" t="str">
        <f>Dimensionamento!V5</f>
        <v>Sim</v>
      </c>
    </row>
    <row r="44" spans="1:19" x14ac:dyDescent="0.25">
      <c r="A44" s="291" t="s">
        <v>246</v>
      </c>
      <c r="B44" s="293">
        <f>2*158</f>
        <v>316</v>
      </c>
      <c r="C44" s="360">
        <f>2*141</f>
        <v>282</v>
      </c>
      <c r="D44" s="360">
        <f>2*145</f>
        <v>290</v>
      </c>
      <c r="E44" s="360">
        <f>2*130</f>
        <v>260</v>
      </c>
      <c r="F44" s="360">
        <f>2*198</f>
        <v>396</v>
      </c>
      <c r="G44" s="360">
        <f>2*175</f>
        <v>350</v>
      </c>
      <c r="H44" s="360">
        <f>2*175</f>
        <v>350</v>
      </c>
      <c r="I44" s="360">
        <f>2*154</f>
        <v>308</v>
      </c>
      <c r="J44" s="360">
        <f>2*209</f>
        <v>418</v>
      </c>
      <c r="K44" s="360">
        <f>2*179</f>
        <v>358</v>
      </c>
      <c r="L44" s="360">
        <f>2*173</f>
        <v>346</v>
      </c>
      <c r="M44" s="369">
        <f>2*144</f>
        <v>288</v>
      </c>
      <c r="O44" s="401" t="s">
        <v>302</v>
      </c>
      <c r="P44" s="402" t="e">
        <f>Dimensionamento!AA6+1</f>
        <v>#N/A</v>
      </c>
      <c r="R44" s="401" t="s">
        <v>298</v>
      </c>
      <c r="S44" s="362" t="str">
        <f>Dimensionamento!W5</f>
        <v>2 Vias</v>
      </c>
    </row>
    <row r="45" spans="1:19" x14ac:dyDescent="0.25">
      <c r="A45" s="291" t="s">
        <v>247</v>
      </c>
      <c r="B45" s="293">
        <f>2*131</f>
        <v>262</v>
      </c>
      <c r="C45" s="360">
        <f>2*117</f>
        <v>234</v>
      </c>
      <c r="D45" s="360">
        <f>2*121</f>
        <v>242</v>
      </c>
      <c r="E45" s="360">
        <f>2*109</f>
        <v>218</v>
      </c>
      <c r="F45" s="360">
        <f>2*164</f>
        <v>328</v>
      </c>
      <c r="G45" s="360">
        <f>2*144</f>
        <v>288</v>
      </c>
      <c r="H45" s="360">
        <f>2*146</f>
        <v>292</v>
      </c>
      <c r="I45" s="360">
        <f>2*128</f>
        <v>256</v>
      </c>
      <c r="J45" s="360">
        <f>2*171</f>
        <v>342</v>
      </c>
      <c r="K45" s="360">
        <f>2*147</f>
        <v>294</v>
      </c>
      <c r="L45" s="360">
        <f>2*146</f>
        <v>292</v>
      </c>
      <c r="M45" s="369">
        <f>2*122</f>
        <v>244</v>
      </c>
      <c r="O45" s="401" t="s">
        <v>303</v>
      </c>
      <c r="P45" s="362" t="e">
        <f>_xlfn.IFS(Ref_p_localização_circuito_2=2,INDEX($A$9:$A$26,MATCH(Corrente_corrigida_circuito_2,$B$9:$B$26,-1)),Ref_p_localização_circuito_2=3,INDEX($A$9:$A$26,MATCH(Corrente_corrigida_circuito_2,$C$9:$C$26,-1)),Ref_p_localização_circuito_2=4,INDEX($A$9:$A$26,MATCH(Corrente_corrigida_circuito_2,$D$9:$D$26,-1)),Ref_p_localização_circuito_2=5,INDEX($A$9:$A$26,MATCH(Corrente_corrigida_circuito_2,$E$9:$E$26,-1)),Ref_p_localização_circuito_2=6,INDEX($A$9:$A$26,MATCH(Corrente_corrigida_circuito_2,$F$9:$F$26,-1)),Ref_p_localização_circuito_2=7,INDEX($A$9:$A$26,MATCH(Corrente_corrigida_circuito_2,$G$9:$G$26,-1)),Ref_p_localização_circuito_2=8,INDEX($A$9:$A$26,MATCH(Corrente_corrigida_circuito_2,H9:H26,-1)),Ref_p_localização_circuito_2=9,INDEX($A$9:$A$26,MATCH(Corrente_corrigida_circuito_2,$I$9:$I$26,-1)),Ref_p_localização_circuito_2=10,INDEX($A$9:$A$26,MATCH(Corrente_corrigida_circuito_2,$J$9:$J$26,-1)),Ref_p_localização_circuito_2=11,INDEX($A$9:$A$26,MATCH(Corrente_corrigida_circuito_2,$K$9:$K$26,-1)),Ref_p_localização_circuito_2=12,INDEX($A$9:$A$26,MATCH(Corrente_corrigida_circuito_2,$L$9:$L$26,-1)),Ref_p_localização_circuito_2=13,INDEX($A$9:$A$26,MATCH(Corrente_corrigida_circuito_2,$M$9:$M$26,-1)))</f>
        <v>#N/A</v>
      </c>
      <c r="R45" s="401" t="s">
        <v>309</v>
      </c>
      <c r="S45" s="362" t="e">
        <f>IF(S43="Sim",_xlfn.IFS(Ref_p_localização_circuito_2=2,INDEX(A38:A55,MATCH(Corrente_corrigida_circuito_2,B38:B55,-1)),Ref_p_localização_circuito_2=3,INDEX(A38:A55,MATCH(Corrente_corrigida_circuito_2,C38:C55,-1)),Ref_p_localização_circuito_2=4,INDEX(A38:A55,MATCH(Corrente_corrigida_circuito_2,D38:D55,-1)),Ref_p_localização_circuito_2=5,INDEX(A38:A55,MATCH(Corrente_corrigida_circuito_2,E38:E55,-1)),Ref_p_localização_circuito_2=6,INDEX(A38:A55,MATCH(Corrente_corrigida_circuito_2,F38:F55,-1)),Ref_p_localização_circuito_2=7,INDEX(A38:A55,MATCH(Corrente_corrigida_circuito_2,G38:G55,-1)),Ref_p_localização_circuito_2=8,INDEX(A38:A55,MATCH(Corrente_corrigida_circuito_2,H38:H55,-1)),Ref_p_localização_circuito_2=9,INDEX(A38:A55,MATCH(Corrente_corrigida_circuito_2,I38:I55,-1)),Ref_p_localização_circuito_2=10,INDEX(A38:A55,MATCH(Corrente_corrigida_circuito_2,J38:J55,-1)),Ref_p_localização_circuito_2=11,INDEX(A38:A55,MATCH(Corrente_corrigida_circuito_2,K38:K55,-1)),Ref_p_localização_circuito_2=12,INDEX(A38:A55,MATCH(Corrente_corrigida_circuito_2,L38:L55,-1)),Ref_p_localização_circuito_2=13,INDEX(A38:A55,MATCH(Corrente_corrigida_circuito_2,M38:M55,-1))),"Sem divisão de fase")</f>
        <v>#N/A</v>
      </c>
    </row>
    <row r="46" spans="1:19" x14ac:dyDescent="0.25">
      <c r="A46" s="291" t="s">
        <v>248</v>
      </c>
      <c r="B46" s="293">
        <f>2*106</f>
        <v>212</v>
      </c>
      <c r="C46" s="360">
        <f>2*95</f>
        <v>190</v>
      </c>
      <c r="D46" s="360">
        <f>2*99</f>
        <v>198</v>
      </c>
      <c r="E46" s="360">
        <f>2*89</f>
        <v>178</v>
      </c>
      <c r="F46" s="360">
        <f>2*133</f>
        <v>266</v>
      </c>
      <c r="G46" s="360">
        <f>2*117</f>
        <v>234</v>
      </c>
      <c r="H46" s="360">
        <f>2*119</f>
        <v>238</v>
      </c>
      <c r="I46" s="360">
        <f>2*105</f>
        <v>210</v>
      </c>
      <c r="J46" s="360">
        <f>2*138</f>
        <v>276</v>
      </c>
      <c r="K46" s="360">
        <f>2*119</f>
        <v>238</v>
      </c>
      <c r="L46" s="360">
        <f>2*121</f>
        <v>242</v>
      </c>
      <c r="M46" s="369">
        <f>2*101</f>
        <v>202</v>
      </c>
      <c r="O46" s="401" t="s">
        <v>304</v>
      </c>
      <c r="P46" s="362"/>
      <c r="R46" s="401" t="s">
        <v>310</v>
      </c>
      <c r="S46" s="362" t="e">
        <f>INDEX(B38:M55,MATCH(S45,A38:A55,0),MATCH(P42,B34:M34,0))</f>
        <v>#N/A</v>
      </c>
    </row>
    <row r="47" spans="1:19" x14ac:dyDescent="0.25">
      <c r="A47" s="291" t="s">
        <v>249</v>
      </c>
      <c r="B47" s="293">
        <f>2*81</f>
        <v>162</v>
      </c>
      <c r="C47" s="360">
        <f>2*73</f>
        <v>146</v>
      </c>
      <c r="D47" s="360">
        <f>2*76</f>
        <v>152</v>
      </c>
      <c r="E47" s="360">
        <f>2*68</f>
        <v>136</v>
      </c>
      <c r="F47" s="360">
        <f>2*100</f>
        <v>200</v>
      </c>
      <c r="G47" s="360">
        <f>2*88</f>
        <v>176</v>
      </c>
      <c r="H47" s="360">
        <f>2*91</f>
        <v>182</v>
      </c>
      <c r="I47" s="360">
        <f>2*80</f>
        <v>160</v>
      </c>
      <c r="J47" s="360">
        <f>2*107</f>
        <v>214</v>
      </c>
      <c r="K47" s="360">
        <f>2*96</f>
        <v>192</v>
      </c>
      <c r="L47" s="360">
        <f>2*95</f>
        <v>190</v>
      </c>
      <c r="M47" s="369">
        <f>2*79</f>
        <v>158</v>
      </c>
      <c r="O47" s="401" t="s">
        <v>305</v>
      </c>
      <c r="P47" s="362" t="e">
        <f>IF($P$49="Sem correção",P45,P49)</f>
        <v>#N/A</v>
      </c>
    </row>
    <row r="48" spans="1:19" x14ac:dyDescent="0.25">
      <c r="A48" s="291" t="s">
        <v>250</v>
      </c>
      <c r="B48" s="293">
        <f>2*61</f>
        <v>122</v>
      </c>
      <c r="C48" s="360">
        <f>2*54</f>
        <v>108</v>
      </c>
      <c r="D48" s="360">
        <f>2*57</f>
        <v>114</v>
      </c>
      <c r="E48" s="360">
        <f>2*51</f>
        <v>102</v>
      </c>
      <c r="F48" s="360">
        <f>2*75</f>
        <v>150</v>
      </c>
      <c r="G48" s="360">
        <f>2*66</f>
        <v>132</v>
      </c>
      <c r="H48" s="360">
        <f>2*69</f>
        <v>138</v>
      </c>
      <c r="I48" s="360">
        <f>2*60</f>
        <v>120</v>
      </c>
      <c r="J48" s="360">
        <f>2*80</f>
        <v>160</v>
      </c>
      <c r="K48" s="360">
        <f>2*71</f>
        <v>142</v>
      </c>
      <c r="L48" s="360">
        <f>2*73</f>
        <v>146</v>
      </c>
      <c r="M48" s="369">
        <f>2*61</f>
        <v>122</v>
      </c>
      <c r="O48" s="401" t="s">
        <v>296</v>
      </c>
      <c r="P48" s="362">
        <f>Dimensionamento!AI6</f>
        <v>30</v>
      </c>
    </row>
    <row r="49" spans="1:16" x14ac:dyDescent="0.25">
      <c r="A49" s="291" t="s">
        <v>251</v>
      </c>
      <c r="B49" s="293">
        <f>2*45</f>
        <v>90</v>
      </c>
      <c r="C49" s="360">
        <f>2*40</f>
        <v>80</v>
      </c>
      <c r="D49" s="360">
        <f>2*42</f>
        <v>84</v>
      </c>
      <c r="E49" s="360">
        <f>2*38</f>
        <v>76</v>
      </c>
      <c r="F49" s="360">
        <f>2*54</f>
        <v>108</v>
      </c>
      <c r="G49" s="360">
        <f>2*48</f>
        <v>96</v>
      </c>
      <c r="H49" s="360">
        <f>2*51</f>
        <v>102</v>
      </c>
      <c r="I49" s="360">
        <f>2*44</f>
        <v>88</v>
      </c>
      <c r="J49" s="360">
        <f>2*58</f>
        <v>116</v>
      </c>
      <c r="K49" s="360">
        <f>2*52</f>
        <v>104</v>
      </c>
      <c r="L49" s="360">
        <f>2*56</f>
        <v>112</v>
      </c>
      <c r="M49" s="369">
        <f>2*46</f>
        <v>92</v>
      </c>
      <c r="O49" s="401" t="s">
        <v>306</v>
      </c>
      <c r="P49" s="362" t="e">
        <f>IF(P54&lt;P48,_xlfn.IFS(Ref_p_localização_circuito_2=2,INDEX($A$9:$A$26,MATCH(Corrente_disjuntor_circuito_2,$B$9:$B$26,-1)),Ref_p_localização_circuito_2=3,INDEX($A$9:$A$26,MATCH(Corrente_disjuntor_circuito_2,$C$9:$C$26,-1)),Ref_p_localização_circuito_2=4,INDEX($A$9:$A$26,MATCH(Corrente_disjuntor_circuito_2,$D$9:$D$26,-1)),Ref_p_localização_circuito_2=5,INDEX($A$9:$A$26,MATCH(Corrente_disjuntor_circuito_2,$E$9:$E$26,-1)),Ref_p_localização_circuito_2=6,INDEX($A$9:$A$26,MATCH(Corrente_disjuntor_circuito_2,$F$9:$F$26,-1)),Ref_p_localização_circuito_2=7,INDEX($A$9:$A$26,MATCH(Corrente_disjuntor_circuito_2,$G$9:$G$26,-1)),Ref_p_localização_circuito_2=8,INDEX($A$9:$A$26,MATCH(Corrente_disjuntor_circuito_2,H9:H26,-1)),Ref_p_localização_circuito_2=9,INDEX($A$9:$A$26,MATCH(Corrente_corrigida_circuito_2,$I$9:$I$26,-1)),Ref_p_localização_circuito_2=10,INDEX($A$9:$A$26,MATCH(Corrente_corrigida_circuito_2,$J$9:$J$26,-1)),Ref_p_localização_circuito_2=11,INDEX($A$9:$A$26,MATCH(Corrente_corrigida_circuito_2,$K$9:$K$26,-1)),Ref_p_localização_circuito_2=12,INDEX($A$9:$A$26,MATCH(Corrente_disjuntor_circuito_2,$L$9:$L$26,-1)),Ref_p_localização_circuito_2=13,INDEX($A$9:$A$26,MATCH(Corrente_disjuntor_circuito_2,$M$9:$M$26,-1))),"Sem correção")</f>
        <v>#N/A</v>
      </c>
    </row>
    <row r="50" spans="1:16" x14ac:dyDescent="0.25">
      <c r="A50" s="291" t="s">
        <v>252</v>
      </c>
      <c r="B50" s="293">
        <f>2*35</f>
        <v>70</v>
      </c>
      <c r="C50" s="360">
        <f>2*31</f>
        <v>62</v>
      </c>
      <c r="D50" s="360">
        <f>2*33</f>
        <v>66</v>
      </c>
      <c r="E50" s="360">
        <f>2*30</f>
        <v>60</v>
      </c>
      <c r="F50" s="360">
        <f>2*42</f>
        <v>84</v>
      </c>
      <c r="G50" s="360">
        <f>2*37</f>
        <v>74</v>
      </c>
      <c r="H50" s="360">
        <f>2*40</f>
        <v>80</v>
      </c>
      <c r="I50" s="360">
        <f>2*35</f>
        <v>70</v>
      </c>
      <c r="J50" s="360">
        <f>2*45</f>
        <v>90</v>
      </c>
      <c r="K50" s="360">
        <f>2*40</f>
        <v>80</v>
      </c>
      <c r="L50" s="360">
        <f>2*44</f>
        <v>88</v>
      </c>
      <c r="M50" s="369">
        <f>2*37</f>
        <v>74</v>
      </c>
      <c r="O50" s="401"/>
      <c r="P50" s="362"/>
    </row>
    <row r="51" spans="1:16" x14ac:dyDescent="0.25">
      <c r="A51" s="291" t="s">
        <v>253</v>
      </c>
      <c r="B51" s="293">
        <f>2*26</f>
        <v>52</v>
      </c>
      <c r="C51" s="360">
        <f>2*23</f>
        <v>46</v>
      </c>
      <c r="D51" s="360">
        <f>2*25</f>
        <v>50</v>
      </c>
      <c r="E51" s="360">
        <f>2*22</f>
        <v>44</v>
      </c>
      <c r="F51" s="360">
        <f>2*31</f>
        <v>62</v>
      </c>
      <c r="G51" s="360">
        <f>2*28</f>
        <v>56</v>
      </c>
      <c r="H51" s="360">
        <f>2*30</f>
        <v>60</v>
      </c>
      <c r="I51" s="360">
        <f>2*26</f>
        <v>52</v>
      </c>
      <c r="J51" s="360">
        <f>2*33</f>
        <v>66</v>
      </c>
      <c r="K51" s="360">
        <f>2*30</f>
        <v>60</v>
      </c>
      <c r="L51" s="360">
        <f>2*34</f>
        <v>68</v>
      </c>
      <c r="M51" s="369">
        <f>2*29</f>
        <v>58</v>
      </c>
      <c r="O51" s="401" t="s">
        <v>182</v>
      </c>
      <c r="P51" s="362" t="e">
        <f>IF(P47&lt;=25,P47,INDEX($T$4:$T$13,MATCH(P47,$S$4:$S$13,0)))</f>
        <v>#N/A</v>
      </c>
    </row>
    <row r="52" spans="1:16" x14ac:dyDescent="0.25">
      <c r="A52" s="291" t="s">
        <v>254</v>
      </c>
      <c r="B52" s="293">
        <f>2*19</f>
        <v>38</v>
      </c>
      <c r="C52" s="360">
        <f>2*17</f>
        <v>34</v>
      </c>
      <c r="D52" s="360">
        <f>2*18.5</f>
        <v>37</v>
      </c>
      <c r="E52" s="360">
        <f>2*16.5</f>
        <v>33</v>
      </c>
      <c r="F52" s="360">
        <f>2*23</f>
        <v>46</v>
      </c>
      <c r="G52" s="360">
        <f>2*20</f>
        <v>40</v>
      </c>
      <c r="H52" s="360">
        <f>2*22</f>
        <v>44</v>
      </c>
      <c r="I52" s="360">
        <f>2*19.5</f>
        <v>39</v>
      </c>
      <c r="J52" s="360">
        <f>2*24</f>
        <v>48</v>
      </c>
      <c r="K52" s="360">
        <f>2*22</f>
        <v>44</v>
      </c>
      <c r="L52" s="360">
        <f>2*26</f>
        <v>52</v>
      </c>
      <c r="M52" s="369">
        <f>2*22</f>
        <v>44</v>
      </c>
      <c r="O52" s="401" t="s">
        <v>307</v>
      </c>
      <c r="P52" s="362" t="e">
        <f>_xlfn.IFS(P47&lt;=16,P47,P47&gt;16,16,P47&lt;=35,16,P47&gt;35,P47/2)</f>
        <v>#N/A</v>
      </c>
    </row>
    <row r="53" spans="1:16" x14ac:dyDescent="0.25">
      <c r="A53" s="291" t="s">
        <v>255</v>
      </c>
      <c r="B53" s="293">
        <f>2*15</f>
        <v>30</v>
      </c>
      <c r="C53" s="360">
        <f>2*13</f>
        <v>26</v>
      </c>
      <c r="D53" s="360">
        <f>2*14</f>
        <v>28</v>
      </c>
      <c r="E53" s="360">
        <f>2*13</f>
        <v>26</v>
      </c>
      <c r="F53" s="360">
        <f>2*18</f>
        <v>36</v>
      </c>
      <c r="G53" s="360">
        <f>2*16</f>
        <v>32</v>
      </c>
      <c r="H53" s="360">
        <f>2*17</f>
        <v>34</v>
      </c>
      <c r="I53" s="360">
        <f>2*15</f>
        <v>30</v>
      </c>
      <c r="J53" s="360">
        <f>2*19</f>
        <v>38</v>
      </c>
      <c r="K53" s="360">
        <f>2*17</f>
        <v>34</v>
      </c>
      <c r="L53" s="360">
        <f>2*21</f>
        <v>42</v>
      </c>
      <c r="M53" s="369">
        <f>2*17</f>
        <v>34</v>
      </c>
      <c r="O53" s="2"/>
      <c r="P53" s="362"/>
    </row>
    <row r="54" spans="1:16" x14ac:dyDescent="0.25">
      <c r="A54" s="291" t="s">
        <v>256</v>
      </c>
      <c r="B54" s="293">
        <f>2*12</f>
        <v>24</v>
      </c>
      <c r="C54" s="360">
        <f>2*11</f>
        <v>22</v>
      </c>
      <c r="D54" s="360">
        <f>2*12</f>
        <v>24</v>
      </c>
      <c r="E54" s="360">
        <f>2*11</f>
        <v>22</v>
      </c>
      <c r="F54" s="360">
        <f>2*15</f>
        <v>30</v>
      </c>
      <c r="G54" s="360">
        <f>2*13</f>
        <v>26</v>
      </c>
      <c r="H54" s="360">
        <f>2*15</f>
        <v>30</v>
      </c>
      <c r="I54" s="360">
        <f>2*13</f>
        <v>26</v>
      </c>
      <c r="J54" s="360">
        <f>2*16</f>
        <v>32</v>
      </c>
      <c r="K54" s="360">
        <f>2*14</f>
        <v>28</v>
      </c>
      <c r="L54" s="360">
        <f>2*18</f>
        <v>36</v>
      </c>
      <c r="M54" s="369">
        <f>2*15</f>
        <v>30</v>
      </c>
      <c r="O54" s="401" t="s">
        <v>311</v>
      </c>
      <c r="P54" s="362" t="e">
        <f>INDEX($B$9:$M$26,MATCH($P$45,$A$9:$A$26,0),MATCH($P$42,$B$5:$M$5,0))</f>
        <v>#N/A</v>
      </c>
    </row>
    <row r="55" spans="1:16" ht="30.75" thickBot="1" x14ac:dyDescent="0.3">
      <c r="A55" s="292" t="s">
        <v>257</v>
      </c>
      <c r="B55" s="293">
        <f>2*10</f>
        <v>20</v>
      </c>
      <c r="C55" s="360">
        <f>2*9</f>
        <v>18</v>
      </c>
      <c r="D55" s="360">
        <f>2*10</f>
        <v>20</v>
      </c>
      <c r="E55" s="360">
        <f>2*9</f>
        <v>18</v>
      </c>
      <c r="F55" s="360">
        <f>2*12</f>
        <v>24</v>
      </c>
      <c r="G55" s="360">
        <f>2*10</f>
        <v>20</v>
      </c>
      <c r="H55" s="360">
        <f>2*11</f>
        <v>22</v>
      </c>
      <c r="I55" s="360">
        <f>2*10</f>
        <v>20</v>
      </c>
      <c r="J55" s="360">
        <f>2*12</f>
        <v>24</v>
      </c>
      <c r="K55" s="360">
        <f>2*11</f>
        <v>22</v>
      </c>
      <c r="L55" s="360">
        <f>2*14</f>
        <v>28</v>
      </c>
      <c r="M55" s="369">
        <f>2*12</f>
        <v>24</v>
      </c>
      <c r="O55" s="403" t="s">
        <v>314</v>
      </c>
      <c r="P55" s="362" t="e">
        <f>IF(P49="Sem correção","Sem correção",INDEX($B$9:$M$26,MATCH($P$49,$A$9:$A$26,0),MATCH($P$42,$B$5:$M$5,0)))</f>
        <v>#N/A</v>
      </c>
    </row>
    <row r="56" spans="1:16" ht="15.75" thickBot="1" x14ac:dyDescent="0.3">
      <c r="A56" s="542" t="s">
        <v>141</v>
      </c>
      <c r="B56" s="543"/>
      <c r="C56" s="543"/>
      <c r="D56" s="543"/>
      <c r="E56" s="543"/>
      <c r="F56" s="543"/>
      <c r="G56" s="543"/>
      <c r="H56" s="543"/>
      <c r="I56" s="543"/>
      <c r="J56" s="543"/>
      <c r="K56" s="543"/>
      <c r="L56" s="543"/>
      <c r="M56" s="543"/>
      <c r="N56" s="373"/>
      <c r="O56" s="401" t="s">
        <v>312</v>
      </c>
      <c r="P56" s="362" t="e">
        <f>INDEX($B$9:$M$26,MATCH($P$51,$A$9:$A$26,0),MATCH($P$42,$B$5:$M$5,0))</f>
        <v>#N/A</v>
      </c>
    </row>
    <row r="57" spans="1:16" ht="15.75" thickBot="1" x14ac:dyDescent="0.3">
      <c r="A57" s="544" t="s">
        <v>258</v>
      </c>
      <c r="B57" s="545"/>
      <c r="C57" s="545"/>
      <c r="D57" s="545"/>
      <c r="E57" s="545"/>
      <c r="F57" s="545"/>
      <c r="G57" s="545"/>
      <c r="H57" s="545"/>
      <c r="I57" s="545"/>
      <c r="J57" s="545"/>
      <c r="K57" s="545"/>
      <c r="L57" s="545"/>
      <c r="M57" s="545"/>
      <c r="N57" s="373"/>
      <c r="O57" s="401" t="s">
        <v>313</v>
      </c>
      <c r="P57" s="362" t="e">
        <f>INDEX($B$9:$M$26,MATCH($P$52,$A$9:$A$26,0),MATCH($P$42,$B$5:$M$5,0))</f>
        <v>#N/A</v>
      </c>
    </row>
    <row r="59" spans="1:16" ht="15.75" thickBot="1" x14ac:dyDescent="0.3"/>
    <row r="60" spans="1:16" ht="15.75" thickBot="1" x14ac:dyDescent="0.3">
      <c r="A60" s="563" t="s">
        <v>140</v>
      </c>
      <c r="B60" s="566" t="s">
        <v>138</v>
      </c>
      <c r="C60" s="567"/>
      <c r="D60" s="567"/>
      <c r="E60" s="567"/>
      <c r="F60" s="567"/>
      <c r="G60" s="567"/>
      <c r="H60" s="567"/>
      <c r="I60" s="567"/>
      <c r="J60" s="567"/>
      <c r="K60" s="567"/>
      <c r="L60" s="567"/>
      <c r="M60" s="568"/>
    </row>
    <row r="61" spans="1:16" x14ac:dyDescent="0.25">
      <c r="A61" s="564"/>
      <c r="B61" s="296"/>
      <c r="C61" s="296"/>
      <c r="D61" s="296"/>
      <c r="E61" s="296"/>
      <c r="F61" s="296"/>
      <c r="G61" s="296"/>
      <c r="H61" s="296"/>
      <c r="I61" s="296"/>
      <c r="J61" s="296"/>
      <c r="K61" s="296"/>
      <c r="L61" s="296"/>
      <c r="M61" s="384"/>
    </row>
    <row r="62" spans="1:16" x14ac:dyDescent="0.25">
      <c r="A62" s="564"/>
      <c r="B62" s="296"/>
      <c r="C62" s="296"/>
      <c r="D62" s="296"/>
      <c r="E62" s="296"/>
      <c r="F62" s="296"/>
      <c r="G62" s="296"/>
      <c r="H62" s="296"/>
      <c r="I62" s="296"/>
      <c r="J62" s="296"/>
      <c r="K62" s="296"/>
      <c r="L62" s="296"/>
      <c r="M62" s="384"/>
    </row>
    <row r="63" spans="1:16" ht="15.75" thickBot="1" x14ac:dyDescent="0.3">
      <c r="A63" s="565"/>
      <c r="B63" s="296"/>
      <c r="C63" s="296"/>
      <c r="D63" s="296"/>
      <c r="E63" s="296"/>
      <c r="F63" s="296"/>
      <c r="G63" s="296"/>
      <c r="H63" s="296"/>
      <c r="I63" s="296"/>
      <c r="J63" s="296"/>
      <c r="K63" s="296"/>
      <c r="L63" s="296"/>
      <c r="M63" s="384"/>
    </row>
    <row r="64" spans="1:16" x14ac:dyDescent="0.25">
      <c r="A64" s="385"/>
      <c r="B64" s="367" t="s">
        <v>150</v>
      </c>
      <c r="C64" s="367" t="s">
        <v>151</v>
      </c>
      <c r="D64" s="367" t="s">
        <v>152</v>
      </c>
      <c r="E64" s="367" t="s">
        <v>153</v>
      </c>
      <c r="F64" s="367" t="s">
        <v>154</v>
      </c>
      <c r="G64" s="367" t="s">
        <v>155</v>
      </c>
      <c r="H64" s="367" t="s">
        <v>156</v>
      </c>
      <c r="I64" s="367" t="s">
        <v>157</v>
      </c>
      <c r="J64" s="367" t="s">
        <v>158</v>
      </c>
      <c r="K64" s="367" t="s">
        <v>159</v>
      </c>
      <c r="L64" s="367" t="s">
        <v>160</v>
      </c>
      <c r="M64" s="386" t="s">
        <v>161</v>
      </c>
    </row>
    <row r="65" spans="1:13" ht="15.75" thickBot="1" x14ac:dyDescent="0.3">
      <c r="A65" s="387">
        <v>1</v>
      </c>
      <c r="B65" s="360">
        <v>2</v>
      </c>
      <c r="C65" s="360">
        <v>3</v>
      </c>
      <c r="D65" s="360">
        <v>4</v>
      </c>
      <c r="E65" s="360">
        <v>5</v>
      </c>
      <c r="F65" s="360">
        <v>6</v>
      </c>
      <c r="G65" s="360">
        <v>7</v>
      </c>
      <c r="H65" s="360">
        <v>8</v>
      </c>
      <c r="I65" s="360">
        <v>9</v>
      </c>
      <c r="J65" s="360">
        <v>10</v>
      </c>
      <c r="K65" s="360">
        <v>11</v>
      </c>
      <c r="L65" s="360">
        <v>12</v>
      </c>
      <c r="M65" s="388">
        <v>13</v>
      </c>
    </row>
    <row r="66" spans="1:13" ht="15.75" thickBot="1" x14ac:dyDescent="0.3">
      <c r="A66" s="385"/>
      <c r="B66" s="539" t="s">
        <v>139</v>
      </c>
      <c r="C66" s="540"/>
      <c r="D66" s="540"/>
      <c r="E66" s="540"/>
      <c r="F66" s="540"/>
      <c r="G66" s="540"/>
      <c r="H66" s="540"/>
      <c r="I66" s="540"/>
      <c r="J66" s="540"/>
      <c r="K66" s="540"/>
      <c r="L66" s="540"/>
      <c r="M66" s="569"/>
    </row>
    <row r="67" spans="1:13" ht="15.75" thickBot="1" x14ac:dyDescent="0.3">
      <c r="A67" s="385"/>
      <c r="B67" s="367">
        <v>2</v>
      </c>
      <c r="C67" s="367">
        <v>3</v>
      </c>
      <c r="D67" s="367">
        <v>2</v>
      </c>
      <c r="E67" s="367">
        <v>3</v>
      </c>
      <c r="F67" s="367">
        <v>2</v>
      </c>
      <c r="G67" s="367">
        <v>3</v>
      </c>
      <c r="H67" s="367">
        <v>2</v>
      </c>
      <c r="I67" s="367">
        <v>3</v>
      </c>
      <c r="J67" s="367">
        <v>2</v>
      </c>
      <c r="K67" s="294">
        <v>3</v>
      </c>
      <c r="L67" s="367">
        <v>2</v>
      </c>
      <c r="M67" s="386">
        <v>3</v>
      </c>
    </row>
    <row r="68" spans="1:13" x14ac:dyDescent="0.25">
      <c r="A68" s="389" t="s">
        <v>259</v>
      </c>
      <c r="B68" s="300">
        <f>3*424</f>
        <v>1272</v>
      </c>
      <c r="C68" s="280">
        <f>3*380</f>
        <v>1140</v>
      </c>
      <c r="D68" s="280">
        <f>3*386</f>
        <v>1158</v>
      </c>
      <c r="E68" s="280">
        <f>3*346</f>
        <v>1038</v>
      </c>
      <c r="F68" s="280">
        <f>3*546</f>
        <v>1638</v>
      </c>
      <c r="G68" s="280">
        <f>3*481</f>
        <v>1443</v>
      </c>
      <c r="H68" s="280">
        <f>3*462</f>
        <v>1386</v>
      </c>
      <c r="I68" s="280">
        <f>3*407</f>
        <v>1221</v>
      </c>
      <c r="J68" s="280">
        <f>3*599</f>
        <v>1797</v>
      </c>
      <c r="K68" s="280">
        <f>3*500</f>
        <v>1500</v>
      </c>
      <c r="L68" s="280">
        <f>3*419</f>
        <v>1257</v>
      </c>
      <c r="M68" s="390">
        <f>3*351</f>
        <v>1053</v>
      </c>
    </row>
    <row r="69" spans="1:13" x14ac:dyDescent="0.25">
      <c r="A69" s="391" t="s">
        <v>260</v>
      </c>
      <c r="B69" s="293">
        <f>3*362</f>
        <v>1086</v>
      </c>
      <c r="C69" s="360">
        <f>3*324</f>
        <v>972</v>
      </c>
      <c r="D69" s="360">
        <f>3*329</f>
        <v>987</v>
      </c>
      <c r="E69" s="360">
        <f>3*295</f>
        <v>885</v>
      </c>
      <c r="F69" s="360">
        <f>3*464</f>
        <v>1392</v>
      </c>
      <c r="G69" s="360">
        <f>3*408</f>
        <v>1224</v>
      </c>
      <c r="H69" s="360">
        <f>3*395</f>
        <v>1185</v>
      </c>
      <c r="I69" s="360">
        <f>3*348</f>
        <v>1044</v>
      </c>
      <c r="J69" s="360">
        <f>3*506</f>
        <v>1518</v>
      </c>
      <c r="K69" s="360">
        <f>3*424</f>
        <v>1272</v>
      </c>
      <c r="L69" s="360">
        <f>3*363</f>
        <v>1089</v>
      </c>
      <c r="M69" s="388">
        <f>3*304</f>
        <v>912</v>
      </c>
    </row>
    <row r="70" spans="1:13" x14ac:dyDescent="0.25">
      <c r="A70" s="391" t="s">
        <v>261</v>
      </c>
      <c r="B70" s="293">
        <f>3*318</f>
        <v>954</v>
      </c>
      <c r="C70" s="360">
        <f>3*285</f>
        <v>855</v>
      </c>
      <c r="D70" s="360">
        <f>3*290</f>
        <v>870</v>
      </c>
      <c r="E70" s="360">
        <f>3*259</f>
        <v>777</v>
      </c>
      <c r="F70" s="360">
        <f>3*407</f>
        <v>1221</v>
      </c>
      <c r="G70" s="360">
        <f>3*358</f>
        <v>1074</v>
      </c>
      <c r="H70" s="360">
        <f>3*349</f>
        <v>1047</v>
      </c>
      <c r="I70" s="360">
        <f>3*307</f>
        <v>921</v>
      </c>
      <c r="J70" s="360">
        <f>3*441</f>
        <v>1323</v>
      </c>
      <c r="K70" s="360">
        <f>3*371</f>
        <v>1113</v>
      </c>
      <c r="L70" s="360">
        <f>3*324</f>
        <v>972</v>
      </c>
      <c r="M70" s="388">
        <f>3*271</f>
        <v>813</v>
      </c>
    </row>
    <row r="71" spans="1:13" x14ac:dyDescent="0.25">
      <c r="A71" s="391" t="s">
        <v>262</v>
      </c>
      <c r="B71" s="293">
        <f>3*278</f>
        <v>834</v>
      </c>
      <c r="C71" s="360">
        <f>3*249</f>
        <v>747</v>
      </c>
      <c r="D71" s="360">
        <f>3*253</f>
        <v>759</v>
      </c>
      <c r="E71" s="360">
        <f>3*227</f>
        <v>681</v>
      </c>
      <c r="F71" s="360">
        <f>3*354</f>
        <v>1062</v>
      </c>
      <c r="G71" s="360">
        <f>3*312</f>
        <v>936</v>
      </c>
      <c r="H71" s="360">
        <f>3*305</f>
        <v>915</v>
      </c>
      <c r="I71" s="360">
        <f>3*268</f>
        <v>804</v>
      </c>
      <c r="J71" s="360">
        <f>3*382</f>
        <v>1146</v>
      </c>
      <c r="K71" s="360">
        <f>3*322</f>
        <v>966</v>
      </c>
      <c r="L71" s="360">
        <f>3*287</f>
        <v>861</v>
      </c>
      <c r="M71" s="388">
        <f>3*240</f>
        <v>720</v>
      </c>
    </row>
    <row r="72" spans="1:13" x14ac:dyDescent="0.25">
      <c r="A72" s="391" t="s">
        <v>263</v>
      </c>
      <c r="B72" s="293">
        <f>3*241</f>
        <v>723</v>
      </c>
      <c r="C72" s="360">
        <f>3*216</f>
        <v>648</v>
      </c>
      <c r="D72" s="360">
        <f>3*220</f>
        <v>660</v>
      </c>
      <c r="E72" s="360">
        <f>3*197</f>
        <v>591</v>
      </c>
      <c r="F72" s="360">
        <f>3*306</f>
        <v>918</v>
      </c>
      <c r="G72" s="360">
        <f>3*269</f>
        <v>807</v>
      </c>
      <c r="H72" s="360">
        <f>3*265</f>
        <v>795</v>
      </c>
      <c r="I72" s="360">
        <f>3*233</f>
        <v>699</v>
      </c>
      <c r="J72" s="360">
        <f>3*328</f>
        <v>984</v>
      </c>
      <c r="K72" s="360">
        <f>3*278</f>
        <v>834</v>
      </c>
      <c r="L72" s="360">
        <f>3*252</f>
        <v>756</v>
      </c>
      <c r="M72" s="388">
        <f>3*211</f>
        <v>633</v>
      </c>
    </row>
    <row r="73" spans="1:13" x14ac:dyDescent="0.25">
      <c r="A73" s="391" t="s">
        <v>264</v>
      </c>
      <c r="B73" s="293">
        <f>3*200</f>
        <v>600</v>
      </c>
      <c r="C73" s="360">
        <f>3*179</f>
        <v>537</v>
      </c>
      <c r="D73" s="360">
        <f>3*183</f>
        <v>549</v>
      </c>
      <c r="E73" s="360">
        <f>3*164</f>
        <v>492</v>
      </c>
      <c r="F73" s="360">
        <f>3*253</f>
        <v>759</v>
      </c>
      <c r="G73" s="360">
        <f>3*222</f>
        <v>666</v>
      </c>
      <c r="H73" s="360">
        <f>3*221</f>
        <v>663</v>
      </c>
      <c r="I73" s="360">
        <f>3*194</f>
        <v>582</v>
      </c>
      <c r="J73" s="360">
        <f>3*269</f>
        <v>807</v>
      </c>
      <c r="K73" s="360">
        <f>3*229</f>
        <v>687</v>
      </c>
      <c r="L73" s="360">
        <f>3*213</f>
        <v>639</v>
      </c>
      <c r="M73" s="388">
        <f>3*178</f>
        <v>534</v>
      </c>
    </row>
    <row r="74" spans="1:13" x14ac:dyDescent="0.25">
      <c r="A74" s="391" t="s">
        <v>265</v>
      </c>
      <c r="B74" s="293">
        <f>3*158</f>
        <v>474</v>
      </c>
      <c r="C74" s="360">
        <f>3*141</f>
        <v>423</v>
      </c>
      <c r="D74" s="360">
        <f>3*145</f>
        <v>435</v>
      </c>
      <c r="E74" s="360">
        <f>3*130</f>
        <v>390</v>
      </c>
      <c r="F74" s="360">
        <f>3*198</f>
        <v>594</v>
      </c>
      <c r="G74" s="360">
        <f>3*175</f>
        <v>525</v>
      </c>
      <c r="H74" s="360">
        <f>3*175</f>
        <v>525</v>
      </c>
      <c r="I74" s="360">
        <f>3*154</f>
        <v>462</v>
      </c>
      <c r="J74" s="360">
        <f>3*209</f>
        <v>627</v>
      </c>
      <c r="K74" s="360">
        <f>3*179</f>
        <v>537</v>
      </c>
      <c r="L74" s="360">
        <f>3*173</f>
        <v>519</v>
      </c>
      <c r="M74" s="388">
        <f>3*144</f>
        <v>432</v>
      </c>
    </row>
    <row r="75" spans="1:13" x14ac:dyDescent="0.25">
      <c r="A75" s="391" t="s">
        <v>266</v>
      </c>
      <c r="B75" s="293">
        <f>3*131</f>
        <v>393</v>
      </c>
      <c r="C75" s="360">
        <f>3*117</f>
        <v>351</v>
      </c>
      <c r="D75" s="360">
        <f>3*121</f>
        <v>363</v>
      </c>
      <c r="E75" s="360">
        <f>3*109</f>
        <v>327</v>
      </c>
      <c r="F75" s="360">
        <f>3*164</f>
        <v>492</v>
      </c>
      <c r="G75" s="360">
        <f>3*144</f>
        <v>432</v>
      </c>
      <c r="H75" s="360">
        <f>3*146</f>
        <v>438</v>
      </c>
      <c r="I75" s="360">
        <f>2*128</f>
        <v>256</v>
      </c>
      <c r="J75" s="360">
        <f>3*171</f>
        <v>513</v>
      </c>
      <c r="K75" s="360">
        <f>3*147</f>
        <v>441</v>
      </c>
      <c r="L75" s="360">
        <f>3*146</f>
        <v>438</v>
      </c>
      <c r="M75" s="388">
        <f>3*122</f>
        <v>366</v>
      </c>
    </row>
    <row r="76" spans="1:13" x14ac:dyDescent="0.25">
      <c r="A76" s="391" t="s">
        <v>267</v>
      </c>
      <c r="B76" s="293">
        <f>3*106</f>
        <v>318</v>
      </c>
      <c r="C76" s="360">
        <f>3*95</f>
        <v>285</v>
      </c>
      <c r="D76" s="360">
        <f>3*99</f>
        <v>297</v>
      </c>
      <c r="E76" s="360">
        <f>3*89</f>
        <v>267</v>
      </c>
      <c r="F76" s="360">
        <f>3*133</f>
        <v>399</v>
      </c>
      <c r="G76" s="360">
        <f>3*117</f>
        <v>351</v>
      </c>
      <c r="H76" s="360">
        <f>3*119</f>
        <v>357</v>
      </c>
      <c r="I76" s="360">
        <f>3*105</f>
        <v>315</v>
      </c>
      <c r="J76" s="360">
        <f>3*138</f>
        <v>414</v>
      </c>
      <c r="K76" s="360">
        <f>3*119</f>
        <v>357</v>
      </c>
      <c r="L76" s="360">
        <f>3*121</f>
        <v>363</v>
      </c>
      <c r="M76" s="388">
        <f>3*101</f>
        <v>303</v>
      </c>
    </row>
    <row r="77" spans="1:13" x14ac:dyDescent="0.25">
      <c r="A77" s="391" t="s">
        <v>268</v>
      </c>
      <c r="B77" s="293">
        <f>3*81</f>
        <v>243</v>
      </c>
      <c r="C77" s="360">
        <f>3*73</f>
        <v>219</v>
      </c>
      <c r="D77" s="360">
        <f>3*76</f>
        <v>228</v>
      </c>
      <c r="E77" s="360">
        <f>3*68</f>
        <v>204</v>
      </c>
      <c r="F77" s="360">
        <f>3*100</f>
        <v>300</v>
      </c>
      <c r="G77" s="360">
        <f>3*88</f>
        <v>264</v>
      </c>
      <c r="H77" s="360">
        <f>3*91</f>
        <v>273</v>
      </c>
      <c r="I77" s="360">
        <f>3*80</f>
        <v>240</v>
      </c>
      <c r="J77" s="360">
        <f>3*107</f>
        <v>321</v>
      </c>
      <c r="K77" s="360">
        <f>3*96</f>
        <v>288</v>
      </c>
      <c r="L77" s="360">
        <f>3*95</f>
        <v>285</v>
      </c>
      <c r="M77" s="388">
        <f>3*79</f>
        <v>237</v>
      </c>
    </row>
    <row r="78" spans="1:13" x14ac:dyDescent="0.25">
      <c r="A78" s="391" t="s">
        <v>269</v>
      </c>
      <c r="B78" s="293">
        <f>3*61</f>
        <v>183</v>
      </c>
      <c r="C78" s="360">
        <f>3*54</f>
        <v>162</v>
      </c>
      <c r="D78" s="360">
        <f>3*57</f>
        <v>171</v>
      </c>
      <c r="E78" s="360">
        <f>3*51</f>
        <v>153</v>
      </c>
      <c r="F78" s="360">
        <f>3*75</f>
        <v>225</v>
      </c>
      <c r="G78" s="360">
        <f>3*66</f>
        <v>198</v>
      </c>
      <c r="H78" s="360">
        <f>3*69</f>
        <v>207</v>
      </c>
      <c r="I78" s="360">
        <f>3*60</f>
        <v>180</v>
      </c>
      <c r="J78" s="360">
        <f>3*80</f>
        <v>240</v>
      </c>
      <c r="K78" s="360">
        <f>3*71</f>
        <v>213</v>
      </c>
      <c r="L78" s="360">
        <f>3*73</f>
        <v>219</v>
      </c>
      <c r="M78" s="388">
        <f>3*61</f>
        <v>183</v>
      </c>
    </row>
    <row r="79" spans="1:13" x14ac:dyDescent="0.25">
      <c r="A79" s="391" t="s">
        <v>270</v>
      </c>
      <c r="B79" s="293">
        <f>3*45</f>
        <v>135</v>
      </c>
      <c r="C79" s="360">
        <f>3*40</f>
        <v>120</v>
      </c>
      <c r="D79" s="360">
        <f>3*42</f>
        <v>126</v>
      </c>
      <c r="E79" s="360">
        <f>3*38</f>
        <v>114</v>
      </c>
      <c r="F79" s="360">
        <f>3*54</f>
        <v>162</v>
      </c>
      <c r="G79" s="360">
        <f>3*48</f>
        <v>144</v>
      </c>
      <c r="H79" s="360">
        <f>3*51</f>
        <v>153</v>
      </c>
      <c r="I79" s="360">
        <f>3*44</f>
        <v>132</v>
      </c>
      <c r="J79" s="360">
        <f>3*58</f>
        <v>174</v>
      </c>
      <c r="K79" s="360">
        <f>3*52</f>
        <v>156</v>
      </c>
      <c r="L79" s="360">
        <f>3*56</f>
        <v>168</v>
      </c>
      <c r="M79" s="388">
        <f>3*46</f>
        <v>138</v>
      </c>
    </row>
    <row r="80" spans="1:13" x14ac:dyDescent="0.25">
      <c r="A80" s="391" t="s">
        <v>271</v>
      </c>
      <c r="B80" s="293">
        <f>3*35</f>
        <v>105</v>
      </c>
      <c r="C80" s="360">
        <f>3*31</f>
        <v>93</v>
      </c>
      <c r="D80" s="360">
        <f>3*33</f>
        <v>99</v>
      </c>
      <c r="E80" s="360">
        <f>3*30</f>
        <v>90</v>
      </c>
      <c r="F80" s="360">
        <f>3*42</f>
        <v>126</v>
      </c>
      <c r="G80" s="360">
        <f>3*37</f>
        <v>111</v>
      </c>
      <c r="H80" s="360">
        <f>3*40</f>
        <v>120</v>
      </c>
      <c r="I80" s="360">
        <f>3*35</f>
        <v>105</v>
      </c>
      <c r="J80" s="360">
        <f>3*45</f>
        <v>135</v>
      </c>
      <c r="K80" s="360">
        <f>3*40</f>
        <v>120</v>
      </c>
      <c r="L80" s="360">
        <f>3*44</f>
        <v>132</v>
      </c>
      <c r="M80" s="388">
        <f>3*37</f>
        <v>111</v>
      </c>
    </row>
    <row r="81" spans="1:13" x14ac:dyDescent="0.25">
      <c r="A81" s="391" t="s">
        <v>272</v>
      </c>
      <c r="B81" s="293">
        <f>3*26</f>
        <v>78</v>
      </c>
      <c r="C81" s="360">
        <f>3*23</f>
        <v>69</v>
      </c>
      <c r="D81" s="360">
        <f>3*25</f>
        <v>75</v>
      </c>
      <c r="E81" s="360">
        <f>3*22</f>
        <v>66</v>
      </c>
      <c r="F81" s="360">
        <f>3*31</f>
        <v>93</v>
      </c>
      <c r="G81" s="360">
        <f>3*28</f>
        <v>84</v>
      </c>
      <c r="H81" s="360">
        <f>3*30</f>
        <v>90</v>
      </c>
      <c r="I81" s="360">
        <f>3*26</f>
        <v>78</v>
      </c>
      <c r="J81" s="360">
        <f>3*33</f>
        <v>99</v>
      </c>
      <c r="K81" s="360">
        <f>3*30</f>
        <v>90</v>
      </c>
      <c r="L81" s="360">
        <f>3*34</f>
        <v>102</v>
      </c>
      <c r="M81" s="388">
        <f>3*29</f>
        <v>87</v>
      </c>
    </row>
    <row r="82" spans="1:13" x14ac:dyDescent="0.25">
      <c r="A82" s="391" t="s">
        <v>273</v>
      </c>
      <c r="B82" s="293">
        <f>3*19</f>
        <v>57</v>
      </c>
      <c r="C82" s="360">
        <f>3*17</f>
        <v>51</v>
      </c>
      <c r="D82" s="360">
        <f>3*18.5</f>
        <v>55.5</v>
      </c>
      <c r="E82" s="360">
        <f>3*16.5</f>
        <v>49.5</v>
      </c>
      <c r="F82" s="360">
        <f>3*23</f>
        <v>69</v>
      </c>
      <c r="G82" s="360">
        <f>3*20</f>
        <v>60</v>
      </c>
      <c r="H82" s="360">
        <f>3*22</f>
        <v>66</v>
      </c>
      <c r="I82" s="360">
        <f>3*19.5</f>
        <v>58.5</v>
      </c>
      <c r="J82" s="360">
        <f>3*24</f>
        <v>72</v>
      </c>
      <c r="K82" s="360">
        <f>3*22</f>
        <v>66</v>
      </c>
      <c r="L82" s="360">
        <f>3*26</f>
        <v>78</v>
      </c>
      <c r="M82" s="388">
        <f>3*22</f>
        <v>66</v>
      </c>
    </row>
    <row r="83" spans="1:13" x14ac:dyDescent="0.25">
      <c r="A83" s="391" t="s">
        <v>274</v>
      </c>
      <c r="B83" s="293">
        <f>3*15</f>
        <v>45</v>
      </c>
      <c r="C83" s="360">
        <f>3*13</f>
        <v>39</v>
      </c>
      <c r="D83" s="360">
        <f>3*14</f>
        <v>42</v>
      </c>
      <c r="E83" s="360">
        <f>3*13</f>
        <v>39</v>
      </c>
      <c r="F83" s="360">
        <f>3*18</f>
        <v>54</v>
      </c>
      <c r="G83" s="360">
        <f>3*16</f>
        <v>48</v>
      </c>
      <c r="H83" s="360">
        <f>3*17</f>
        <v>51</v>
      </c>
      <c r="I83" s="360">
        <f>3*15</f>
        <v>45</v>
      </c>
      <c r="J83" s="360">
        <f>3*19</f>
        <v>57</v>
      </c>
      <c r="K83" s="360">
        <f>3*17</f>
        <v>51</v>
      </c>
      <c r="L83" s="360">
        <f>3*21</f>
        <v>63</v>
      </c>
      <c r="M83" s="388">
        <f>3*17</f>
        <v>51</v>
      </c>
    </row>
    <row r="84" spans="1:13" x14ac:dyDescent="0.25">
      <c r="A84" s="391" t="s">
        <v>275</v>
      </c>
      <c r="B84" s="293">
        <f>3*12</f>
        <v>36</v>
      </c>
      <c r="C84" s="360">
        <f>3*11</f>
        <v>33</v>
      </c>
      <c r="D84" s="360">
        <f>3*12</f>
        <v>36</v>
      </c>
      <c r="E84" s="360">
        <f>3*11</f>
        <v>33</v>
      </c>
      <c r="F84" s="360">
        <f>3*15</f>
        <v>45</v>
      </c>
      <c r="G84" s="360">
        <f>3*13</f>
        <v>39</v>
      </c>
      <c r="H84" s="360">
        <f>3*15</f>
        <v>45</v>
      </c>
      <c r="I84" s="360">
        <f>3*13</f>
        <v>39</v>
      </c>
      <c r="J84" s="360">
        <f>3*16</f>
        <v>48</v>
      </c>
      <c r="K84" s="360">
        <f>3*14</f>
        <v>42</v>
      </c>
      <c r="L84" s="360">
        <f>3*18</f>
        <v>54</v>
      </c>
      <c r="M84" s="388">
        <f>3*15</f>
        <v>45</v>
      </c>
    </row>
    <row r="85" spans="1:13" ht="15.75" thickBot="1" x14ac:dyDescent="0.3">
      <c r="A85" s="392" t="s">
        <v>276</v>
      </c>
      <c r="B85" s="293">
        <f>3*10</f>
        <v>30</v>
      </c>
      <c r="C85" s="360">
        <f>3*9</f>
        <v>27</v>
      </c>
      <c r="D85" s="360">
        <f>3*10</f>
        <v>30</v>
      </c>
      <c r="E85" s="360">
        <f>3*9</f>
        <v>27</v>
      </c>
      <c r="F85" s="360">
        <f>3*12</f>
        <v>36</v>
      </c>
      <c r="G85" s="360">
        <f>3*10</f>
        <v>30</v>
      </c>
      <c r="H85" s="360">
        <f>3*11</f>
        <v>33</v>
      </c>
      <c r="I85" s="360">
        <f>3*10</f>
        <v>30</v>
      </c>
      <c r="J85" s="360">
        <f>3*12</f>
        <v>36</v>
      </c>
      <c r="K85" s="360">
        <f>3*11</f>
        <v>33</v>
      </c>
      <c r="L85" s="360">
        <f>3*14</f>
        <v>42</v>
      </c>
      <c r="M85" s="388">
        <f>3*12</f>
        <v>36</v>
      </c>
    </row>
    <row r="86" spans="1:13" ht="15.75" thickBot="1" x14ac:dyDescent="0.3">
      <c r="A86" s="570" t="s">
        <v>141</v>
      </c>
      <c r="B86" s="543"/>
      <c r="C86" s="543"/>
      <c r="D86" s="543"/>
      <c r="E86" s="543"/>
      <c r="F86" s="543"/>
      <c r="G86" s="543"/>
      <c r="H86" s="543"/>
      <c r="I86" s="543"/>
      <c r="J86" s="543"/>
      <c r="K86" s="543"/>
      <c r="L86" s="543"/>
      <c r="M86" s="571"/>
    </row>
    <row r="87" spans="1:13" ht="15.75" thickBot="1" x14ac:dyDescent="0.3">
      <c r="A87" s="572" t="s">
        <v>277</v>
      </c>
      <c r="B87" s="573"/>
      <c r="C87" s="573"/>
      <c r="D87" s="573"/>
      <c r="E87" s="573"/>
      <c r="F87" s="573"/>
      <c r="G87" s="573"/>
      <c r="H87" s="573"/>
      <c r="I87" s="573"/>
      <c r="J87" s="573"/>
      <c r="K87" s="573"/>
      <c r="L87" s="573"/>
      <c r="M87" s="574"/>
    </row>
  </sheetData>
  <mergeCells count="16">
    <mergeCell ref="A60:A63"/>
    <mergeCell ref="B60:M60"/>
    <mergeCell ref="B66:M66"/>
    <mergeCell ref="A86:M86"/>
    <mergeCell ref="A87:M87"/>
    <mergeCell ref="B36:M36"/>
    <mergeCell ref="A56:M56"/>
    <mergeCell ref="A57:M57"/>
    <mergeCell ref="S15:T15"/>
    <mergeCell ref="A1:A4"/>
    <mergeCell ref="A30:A33"/>
    <mergeCell ref="B30:M30"/>
    <mergeCell ref="A27:M27"/>
    <mergeCell ref="B1:M1"/>
    <mergeCell ref="B7:M7"/>
    <mergeCell ref="A28:M28"/>
  </mergeCells>
  <dataValidations disablePrompts="1" count="1">
    <dataValidation type="list" allowBlank="1" showInputMessage="1" showErrorMessage="1" sqref="P42" xr:uid="{02114EA3-D511-448B-8613-3C04805F2A93}">
      <formula1>$B$5:$M$5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P45" formulaRange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A0079-6319-42FE-84D7-0F235BF49486}">
  <sheetPr codeName="Planilha12"/>
  <dimension ref="A1:B6"/>
  <sheetViews>
    <sheetView workbookViewId="0">
      <selection activeCell="E12" sqref="E12"/>
    </sheetView>
  </sheetViews>
  <sheetFormatPr defaultRowHeight="15" x14ac:dyDescent="0.25"/>
  <cols>
    <col min="1" max="1" width="32.5703125" bestFit="1" customWidth="1"/>
  </cols>
  <sheetData>
    <row r="1" spans="1:2" x14ac:dyDescent="0.25">
      <c r="A1" t="s">
        <v>166</v>
      </c>
      <c r="B1">
        <v>0.41</v>
      </c>
    </row>
    <row r="2" spans="1:2" x14ac:dyDescent="0.25">
      <c r="A2" t="s">
        <v>167</v>
      </c>
      <c r="B2">
        <v>40.51</v>
      </c>
    </row>
    <row r="3" spans="1:2" x14ac:dyDescent="0.25">
      <c r="A3" t="s">
        <v>168</v>
      </c>
      <c r="B3">
        <v>10.14</v>
      </c>
    </row>
    <row r="4" spans="1:2" x14ac:dyDescent="0.25">
      <c r="A4" t="s">
        <v>169</v>
      </c>
      <c r="B4">
        <v>48.99</v>
      </c>
    </row>
    <row r="5" spans="1:2" x14ac:dyDescent="0.25">
      <c r="A5" t="s">
        <v>170</v>
      </c>
      <c r="B5">
        <v>10.91</v>
      </c>
    </row>
    <row r="6" spans="1:2" x14ac:dyDescent="0.25">
      <c r="A6" t="s">
        <v>171</v>
      </c>
      <c r="B6">
        <v>0.20380000000000001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C3D2E-F40F-41E1-BF61-4754F4CC2758}">
  <sheetPr codeName="Planilha13">
    <tabColor theme="9" tint="0.39997558519241921"/>
  </sheetPr>
  <dimension ref="A1:B9"/>
  <sheetViews>
    <sheetView workbookViewId="0">
      <selection activeCell="N31" sqref="N31"/>
    </sheetView>
  </sheetViews>
  <sheetFormatPr defaultRowHeight="15" x14ac:dyDescent="0.25"/>
  <cols>
    <col min="1" max="1" width="27.85546875" bestFit="1" customWidth="1"/>
    <col min="2" max="2" width="19.7109375" bestFit="1" customWidth="1"/>
    <col min="4" max="4" width="22.140625" bestFit="1" customWidth="1"/>
    <col min="5" max="5" width="16.7109375" bestFit="1" customWidth="1"/>
  </cols>
  <sheetData>
    <row r="1" spans="1:2" x14ac:dyDescent="0.25">
      <c r="A1" t="s">
        <v>204</v>
      </c>
    </row>
    <row r="2" spans="1:2" x14ac:dyDescent="0.25">
      <c r="A2" t="s">
        <v>189</v>
      </c>
      <c r="B2" s="7" t="s">
        <v>203</v>
      </c>
    </row>
    <row r="3" spans="1:2" x14ac:dyDescent="0.25">
      <c r="A3" t="s">
        <v>190</v>
      </c>
    </row>
    <row r="4" spans="1:2" x14ac:dyDescent="0.25">
      <c r="A4" t="s">
        <v>191</v>
      </c>
      <c r="B4">
        <v>600</v>
      </c>
    </row>
    <row r="5" spans="1:2" x14ac:dyDescent="0.25">
      <c r="A5" t="s">
        <v>192</v>
      </c>
      <c r="B5">
        <v>22</v>
      </c>
    </row>
    <row r="6" spans="1:2" x14ac:dyDescent="0.25">
      <c r="A6" t="s">
        <v>116</v>
      </c>
      <c r="B6">
        <v>6</v>
      </c>
    </row>
    <row r="7" spans="1:2" x14ac:dyDescent="0.25">
      <c r="A7" t="s">
        <v>193</v>
      </c>
      <c r="B7">
        <v>2</v>
      </c>
    </row>
    <row r="8" spans="1:2" x14ac:dyDescent="0.25">
      <c r="A8" t="s">
        <v>194</v>
      </c>
      <c r="B8">
        <v>60000</v>
      </c>
    </row>
    <row r="9" spans="1:2" x14ac:dyDescent="0.25">
      <c r="A9" t="s">
        <v>195</v>
      </c>
      <c r="B9">
        <v>66000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963C-FF1F-44A6-9195-F867DBBB3828}">
  <sheetPr codeName="Planilha14"/>
  <dimension ref="A1:E14"/>
  <sheetViews>
    <sheetView workbookViewId="0">
      <selection activeCell="E10" sqref="E10"/>
    </sheetView>
  </sheetViews>
  <sheetFormatPr defaultRowHeight="15" x14ac:dyDescent="0.25"/>
  <cols>
    <col min="1" max="1" width="22.140625" bestFit="1" customWidth="1"/>
    <col min="2" max="2" width="16.7109375" bestFit="1" customWidth="1"/>
    <col min="3" max="3" width="11.140625" bestFit="1" customWidth="1"/>
    <col min="5" max="5" width="16.7109375" bestFit="1" customWidth="1"/>
  </cols>
  <sheetData>
    <row r="1" spans="1:5" x14ac:dyDescent="0.25">
      <c r="A1" t="s">
        <v>215</v>
      </c>
      <c r="B1" t="s">
        <v>216</v>
      </c>
      <c r="C1" t="s">
        <v>238</v>
      </c>
    </row>
    <row r="2" spans="1:5" ht="15.75" thickBot="1" x14ac:dyDescent="0.3">
      <c r="A2" s="331"/>
      <c r="B2" s="331"/>
      <c r="C2" s="331"/>
    </row>
    <row r="3" spans="1:5" ht="15.75" thickBot="1" x14ac:dyDescent="0.3">
      <c r="A3" s="331" t="s">
        <v>115</v>
      </c>
      <c r="B3" s="331" t="s">
        <v>217</v>
      </c>
      <c r="C3" s="331" t="s">
        <v>166</v>
      </c>
      <c r="E3" s="278" t="s">
        <v>217</v>
      </c>
    </row>
    <row r="4" spans="1:5" ht="15.75" thickBot="1" x14ac:dyDescent="0.3">
      <c r="A4" s="331" t="s">
        <v>218</v>
      </c>
      <c r="B4" s="331" t="s">
        <v>219</v>
      </c>
      <c r="C4" s="331">
        <v>2200</v>
      </c>
      <c r="E4" s="278" t="e">
        <f>INDEX(B4:B14,MATCH(Dimensionamento!I5,Disjuntor!C4:C14,0))</f>
        <v>#N/A</v>
      </c>
    </row>
    <row r="5" spans="1:5" x14ac:dyDescent="0.25">
      <c r="A5" s="331" t="s">
        <v>220</v>
      </c>
      <c r="B5" s="331" t="s">
        <v>221</v>
      </c>
      <c r="C5" s="331">
        <v>3300</v>
      </c>
    </row>
    <row r="6" spans="1:5" x14ac:dyDescent="0.25">
      <c r="A6" s="331" t="s">
        <v>222</v>
      </c>
      <c r="B6" s="331" t="s">
        <v>223</v>
      </c>
      <c r="C6" s="331">
        <v>4400</v>
      </c>
    </row>
    <row r="7" spans="1:5" x14ac:dyDescent="0.25">
      <c r="A7" s="331" t="s">
        <v>224</v>
      </c>
      <c r="B7" s="331" t="s">
        <v>225</v>
      </c>
      <c r="C7" s="331">
        <v>5500</v>
      </c>
    </row>
    <row r="8" spans="1:5" x14ac:dyDescent="0.25">
      <c r="A8" s="331" t="s">
        <v>226</v>
      </c>
      <c r="B8" s="331" t="s">
        <v>227</v>
      </c>
      <c r="C8" s="331">
        <v>13200</v>
      </c>
    </row>
    <row r="9" spans="1:5" x14ac:dyDescent="0.25">
      <c r="A9" s="331" t="s">
        <v>228</v>
      </c>
      <c r="B9" s="331" t="s">
        <v>229</v>
      </c>
      <c r="C9" s="331">
        <v>16500</v>
      </c>
    </row>
    <row r="10" spans="1:5" x14ac:dyDescent="0.25">
      <c r="A10" s="331" t="s">
        <v>230</v>
      </c>
      <c r="B10" s="331" t="s">
        <v>231</v>
      </c>
      <c r="C10" s="331">
        <v>22000</v>
      </c>
    </row>
    <row r="11" spans="1:5" x14ac:dyDescent="0.25">
      <c r="A11" s="331" t="s">
        <v>232</v>
      </c>
      <c r="B11" s="331" t="s">
        <v>233</v>
      </c>
      <c r="C11" s="331">
        <v>33000</v>
      </c>
    </row>
    <row r="12" spans="1:5" x14ac:dyDescent="0.25">
      <c r="A12" s="331" t="s">
        <v>234</v>
      </c>
      <c r="B12" s="331" t="s">
        <v>235</v>
      </c>
      <c r="C12" s="331">
        <v>40000</v>
      </c>
    </row>
    <row r="13" spans="1:5" x14ac:dyDescent="0.25">
      <c r="A13" s="331" t="s">
        <v>236</v>
      </c>
      <c r="B13" s="331" t="s">
        <v>235</v>
      </c>
      <c r="C13" s="331">
        <v>40000</v>
      </c>
    </row>
    <row r="14" spans="1:5" x14ac:dyDescent="0.25">
      <c r="A14" s="331" t="s">
        <v>203</v>
      </c>
      <c r="B14" s="331" t="s">
        <v>237</v>
      </c>
      <c r="C14" s="331">
        <v>66000</v>
      </c>
    </row>
  </sheetData>
  <phoneticPr fontId="1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0"/>
  <dimension ref="A1:F14"/>
  <sheetViews>
    <sheetView showGridLines="0" workbookViewId="0">
      <selection sqref="A1:F14"/>
    </sheetView>
  </sheetViews>
  <sheetFormatPr defaultRowHeight="15" x14ac:dyDescent="0.25"/>
  <cols>
    <col min="1" max="1" width="16.5703125" bestFit="1" customWidth="1"/>
    <col min="2" max="2" width="36.7109375" bestFit="1" customWidth="1"/>
    <col min="3" max="3" width="7.140625" bestFit="1" customWidth="1"/>
    <col min="4" max="4" width="2" bestFit="1" customWidth="1"/>
    <col min="5" max="5" width="10" bestFit="1" customWidth="1"/>
    <col min="6" max="6" width="9.7109375" bestFit="1" customWidth="1"/>
  </cols>
  <sheetData>
    <row r="1" spans="1:6" ht="15.75" thickBot="1" x14ac:dyDescent="0.3">
      <c r="A1" s="518" t="s">
        <v>56</v>
      </c>
      <c r="B1" s="519"/>
      <c r="C1" s="519"/>
      <c r="D1" s="519"/>
      <c r="E1" s="519"/>
      <c r="F1" s="520"/>
    </row>
    <row r="2" spans="1:6" ht="15.75" thickBot="1" x14ac:dyDescent="0.3"/>
    <row r="3" spans="1:6" ht="18.75" x14ac:dyDescent="0.35">
      <c r="A3" s="515" t="s">
        <v>27</v>
      </c>
      <c r="B3" s="4" t="s">
        <v>52</v>
      </c>
      <c r="C3" s="5" t="s">
        <v>50</v>
      </c>
      <c r="D3" s="4" t="s">
        <v>5</v>
      </c>
      <c r="E3" s="19">
        <v>2.86E-2</v>
      </c>
      <c r="F3" s="6" t="s">
        <v>2</v>
      </c>
    </row>
    <row r="4" spans="1:6" ht="18.75" thickBot="1" x14ac:dyDescent="0.4">
      <c r="A4" s="516"/>
      <c r="B4" s="9" t="s">
        <v>3</v>
      </c>
      <c r="C4" s="10" t="s">
        <v>51</v>
      </c>
      <c r="D4" s="9" t="s">
        <v>5</v>
      </c>
      <c r="E4" s="20">
        <v>3.8999999999999998E-3</v>
      </c>
      <c r="F4" s="11" t="s">
        <v>6</v>
      </c>
    </row>
    <row r="5" spans="1:6" ht="15.75" thickBot="1" x14ac:dyDescent="0.3">
      <c r="E5" s="1"/>
    </row>
    <row r="6" spans="1:6" ht="18" x14ac:dyDescent="0.35">
      <c r="A6" s="515" t="s">
        <v>18</v>
      </c>
      <c r="B6" s="4" t="s">
        <v>19</v>
      </c>
      <c r="C6" s="5" t="s">
        <v>22</v>
      </c>
      <c r="D6" s="4" t="s">
        <v>5</v>
      </c>
      <c r="E6" s="12"/>
      <c r="F6" s="6" t="s">
        <v>10</v>
      </c>
    </row>
    <row r="7" spans="1:6" ht="18" x14ac:dyDescent="0.35">
      <c r="A7" s="517"/>
      <c r="B7" t="s">
        <v>20</v>
      </c>
      <c r="C7" s="7" t="s">
        <v>21</v>
      </c>
      <c r="D7" t="s">
        <v>5</v>
      </c>
      <c r="E7" s="13"/>
      <c r="F7" s="8" t="s">
        <v>11</v>
      </c>
    </row>
    <row r="8" spans="1:6" ht="18" x14ac:dyDescent="0.35">
      <c r="A8" s="517"/>
      <c r="B8" t="s">
        <v>23</v>
      </c>
      <c r="C8" s="7" t="s">
        <v>24</v>
      </c>
      <c r="D8" t="s">
        <v>5</v>
      </c>
      <c r="E8" s="13"/>
      <c r="F8" s="8" t="s">
        <v>14</v>
      </c>
    </row>
    <row r="9" spans="1:6" ht="18" x14ac:dyDescent="0.35">
      <c r="A9" s="517"/>
      <c r="B9" t="s">
        <v>12</v>
      </c>
      <c r="C9" s="7" t="s">
        <v>25</v>
      </c>
      <c r="D9" t="s">
        <v>5</v>
      </c>
      <c r="E9" s="13"/>
      <c r="F9" s="8" t="s">
        <v>13</v>
      </c>
    </row>
    <row r="10" spans="1:6" ht="18.75" thickBot="1" x14ac:dyDescent="0.4">
      <c r="A10" s="516"/>
      <c r="B10" s="9" t="s">
        <v>28</v>
      </c>
      <c r="C10" s="10" t="s">
        <v>30</v>
      </c>
      <c r="D10" s="9" t="s">
        <v>5</v>
      </c>
      <c r="E10" s="14"/>
      <c r="F10" s="11" t="s">
        <v>7</v>
      </c>
    </row>
    <row r="11" spans="1:6" ht="15.75" thickBot="1" x14ac:dyDescent="0.3"/>
    <row r="12" spans="1:6" ht="18" x14ac:dyDescent="0.35">
      <c r="A12" s="515" t="s">
        <v>26</v>
      </c>
      <c r="B12" s="4" t="s">
        <v>53</v>
      </c>
      <c r="C12" s="5" t="s">
        <v>8</v>
      </c>
      <c r="D12" s="4" t="s">
        <v>5</v>
      </c>
      <c r="E12" s="4">
        <f>E3*(1+E4*(E10-20))</f>
        <v>2.6369200000000002E-2</v>
      </c>
      <c r="F12" s="17" t="s">
        <v>2</v>
      </c>
    </row>
    <row r="13" spans="1:6" ht="18" x14ac:dyDescent="0.35">
      <c r="A13" s="517"/>
      <c r="B13" t="s">
        <v>16</v>
      </c>
      <c r="C13" s="18" t="s">
        <v>17</v>
      </c>
      <c r="D13" t="s">
        <v>5</v>
      </c>
      <c r="E13" t="e">
        <f>(100*SQRT(3)*E12*E6*E7)/(E9*E8)</f>
        <v>#DIV/0!</v>
      </c>
      <c r="F13" s="8" t="s">
        <v>31</v>
      </c>
    </row>
    <row r="14" spans="1:6" ht="15.75" thickBot="1" x14ac:dyDescent="0.3">
      <c r="A14" s="516"/>
      <c r="B14" s="9" t="s">
        <v>15</v>
      </c>
      <c r="C14" s="16" t="s">
        <v>9</v>
      </c>
      <c r="D14" s="9" t="s">
        <v>5</v>
      </c>
      <c r="E14" s="9" t="e">
        <f>E8*E13/100</f>
        <v>#DIV/0!</v>
      </c>
      <c r="F14" s="11" t="s">
        <v>14</v>
      </c>
    </row>
  </sheetData>
  <mergeCells count="4">
    <mergeCell ref="A1:F1"/>
    <mergeCell ref="A3:A4"/>
    <mergeCell ref="A6:A10"/>
    <mergeCell ref="A12:A14"/>
  </mergeCells>
  <conditionalFormatting sqref="E13">
    <cfRule type="cellIs" dxfId="3" priority="1" operator="greaterThan">
      <formula>4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/>
  <dimension ref="A1:L22"/>
  <sheetViews>
    <sheetView showGridLines="0" workbookViewId="0">
      <selection sqref="A1:L22"/>
    </sheetView>
  </sheetViews>
  <sheetFormatPr defaultRowHeight="15" x14ac:dyDescent="0.25"/>
  <cols>
    <col min="1" max="1" width="16.5703125" bestFit="1" customWidth="1"/>
    <col min="2" max="2" width="41" bestFit="1" customWidth="1"/>
    <col min="3" max="3" width="7.5703125" bestFit="1" customWidth="1"/>
    <col min="4" max="4" width="2" bestFit="1" customWidth="1"/>
    <col min="5" max="5" width="8" bestFit="1" customWidth="1"/>
    <col min="10" max="10" width="12.140625" bestFit="1" customWidth="1"/>
    <col min="11" max="11" width="18.85546875" bestFit="1" customWidth="1"/>
    <col min="12" max="12" width="17.42578125" bestFit="1" customWidth="1"/>
  </cols>
  <sheetData>
    <row r="1" spans="1:12" ht="15.75" thickBot="1" x14ac:dyDescent="0.3">
      <c r="A1" s="518" t="s">
        <v>57</v>
      </c>
      <c r="B1" s="519"/>
      <c r="C1" s="519"/>
      <c r="D1" s="519"/>
      <c r="E1" s="519"/>
      <c r="F1" s="520"/>
    </row>
    <row r="2" spans="1:12" ht="15.75" thickBot="1" x14ac:dyDescent="0.3">
      <c r="J2" s="521" t="s">
        <v>54</v>
      </c>
      <c r="K2" s="522"/>
      <c r="L2" s="523"/>
    </row>
    <row r="3" spans="1:12" ht="18" x14ac:dyDescent="0.35">
      <c r="A3" s="515" t="s">
        <v>18</v>
      </c>
      <c r="B3" s="4" t="s">
        <v>12</v>
      </c>
      <c r="C3" s="5" t="s">
        <v>25</v>
      </c>
      <c r="D3" s="4" t="s">
        <v>5</v>
      </c>
      <c r="E3" s="12"/>
      <c r="F3" s="6" t="s">
        <v>13</v>
      </c>
      <c r="J3" s="3" t="s">
        <v>43</v>
      </c>
      <c r="K3" s="3" t="s">
        <v>41</v>
      </c>
      <c r="L3" s="3" t="s">
        <v>42</v>
      </c>
    </row>
    <row r="4" spans="1:12" ht="18" x14ac:dyDescent="0.35">
      <c r="A4" s="517"/>
      <c r="B4" t="s">
        <v>34</v>
      </c>
      <c r="C4" s="7" t="s">
        <v>35</v>
      </c>
      <c r="D4" t="s">
        <v>5</v>
      </c>
      <c r="E4" s="13"/>
      <c r="F4" s="8" t="s">
        <v>38</v>
      </c>
      <c r="J4" s="2">
        <v>1.5</v>
      </c>
      <c r="K4" s="2"/>
      <c r="L4" s="2">
        <v>0.13780000000000001</v>
      </c>
    </row>
    <row r="5" spans="1:12" ht="18" x14ac:dyDescent="0.35">
      <c r="A5" s="517"/>
      <c r="B5" t="s">
        <v>36</v>
      </c>
      <c r="C5" s="7" t="s">
        <v>37</v>
      </c>
      <c r="D5" t="s">
        <v>5</v>
      </c>
      <c r="E5" s="13"/>
      <c r="F5" s="8" t="s">
        <v>38</v>
      </c>
      <c r="J5" s="2">
        <v>2.5</v>
      </c>
      <c r="K5" s="2"/>
      <c r="L5" s="2">
        <v>0.13450000000000001</v>
      </c>
    </row>
    <row r="6" spans="1:12" ht="18" x14ac:dyDescent="0.35">
      <c r="A6" s="517"/>
      <c r="B6" t="s">
        <v>19</v>
      </c>
      <c r="C6" s="7" t="s">
        <v>22</v>
      </c>
      <c r="D6" t="s">
        <v>5</v>
      </c>
      <c r="E6" s="13"/>
      <c r="F6" s="8" t="s">
        <v>10</v>
      </c>
      <c r="J6" s="2">
        <v>4</v>
      </c>
      <c r="K6" s="2"/>
      <c r="L6" s="2">
        <v>0.12790000000000001</v>
      </c>
    </row>
    <row r="7" spans="1:12" ht="18" x14ac:dyDescent="0.35">
      <c r="A7" s="517"/>
      <c r="B7" t="s">
        <v>20</v>
      </c>
      <c r="C7" s="7" t="s">
        <v>21</v>
      </c>
      <c r="D7" t="s">
        <v>5</v>
      </c>
      <c r="E7" s="13"/>
      <c r="F7" s="8" t="s">
        <v>11</v>
      </c>
      <c r="J7" s="2">
        <v>6</v>
      </c>
      <c r="K7" s="2"/>
      <c r="L7" s="2">
        <v>0.1225</v>
      </c>
    </row>
    <row r="8" spans="1:12" ht="18" x14ac:dyDescent="0.35">
      <c r="A8" s="517"/>
      <c r="B8" t="s">
        <v>23</v>
      </c>
      <c r="C8" s="7" t="s">
        <v>24</v>
      </c>
      <c r="D8" t="s">
        <v>5</v>
      </c>
      <c r="E8" s="13"/>
      <c r="F8" s="8" t="s">
        <v>14</v>
      </c>
      <c r="J8" s="2">
        <v>10</v>
      </c>
      <c r="K8" s="2">
        <v>3.08</v>
      </c>
      <c r="L8" s="2">
        <v>0.1207</v>
      </c>
    </row>
    <row r="9" spans="1:12" ht="18" x14ac:dyDescent="0.35">
      <c r="A9" s="517"/>
      <c r="B9" t="s">
        <v>28</v>
      </c>
      <c r="C9" s="7" t="s">
        <v>30</v>
      </c>
      <c r="D9" t="s">
        <v>5</v>
      </c>
      <c r="E9" s="13"/>
      <c r="F9" s="8" t="s">
        <v>7</v>
      </c>
      <c r="J9" s="2">
        <v>16</v>
      </c>
      <c r="K9" s="2">
        <v>1.91</v>
      </c>
      <c r="L9" s="2">
        <v>0.1173</v>
      </c>
    </row>
    <row r="10" spans="1:12" ht="18" x14ac:dyDescent="0.35">
      <c r="A10" s="517"/>
      <c r="B10" t="s">
        <v>32</v>
      </c>
      <c r="C10" s="7" t="s">
        <v>33</v>
      </c>
      <c r="D10" t="s">
        <v>5</v>
      </c>
      <c r="E10" s="13"/>
      <c r="F10" s="8"/>
      <c r="J10" s="2">
        <v>25</v>
      </c>
      <c r="K10" s="2">
        <v>1.2</v>
      </c>
      <c r="L10" s="2">
        <v>0.1164</v>
      </c>
    </row>
    <row r="11" spans="1:12" ht="15.75" thickBot="1" x14ac:dyDescent="0.3">
      <c r="A11" s="516"/>
      <c r="B11" s="9" t="s">
        <v>39</v>
      </c>
      <c r="C11" s="10" t="s">
        <v>40</v>
      </c>
      <c r="D11" s="9" t="s">
        <v>5</v>
      </c>
      <c r="E11" s="14"/>
      <c r="F11" s="11"/>
      <c r="J11" s="2">
        <v>35</v>
      </c>
      <c r="K11" s="2">
        <v>0.86799999999999999</v>
      </c>
      <c r="L11" s="2">
        <v>0.1128</v>
      </c>
    </row>
    <row r="12" spans="1:12" ht="15.75" thickBot="1" x14ac:dyDescent="0.3">
      <c r="J12" s="2">
        <v>50</v>
      </c>
      <c r="K12" s="2">
        <v>0.64100000000000001</v>
      </c>
      <c r="L12" s="2">
        <v>0.11269999999999999</v>
      </c>
    </row>
    <row r="13" spans="1:12" ht="18" x14ac:dyDescent="0.35">
      <c r="A13" s="515" t="s">
        <v>26</v>
      </c>
      <c r="B13" s="4" t="s">
        <v>16</v>
      </c>
      <c r="C13" s="15" t="s">
        <v>17</v>
      </c>
      <c r="D13" s="4" t="s">
        <v>5</v>
      </c>
      <c r="E13" s="4" t="e">
        <f>(SQRT(3)*E7*E6*(E4*E11+E5*SIN(ACOS(E11))))/(10*E10*E8)</f>
        <v>#DIV/0!</v>
      </c>
      <c r="F13" s="6" t="s">
        <v>31</v>
      </c>
      <c r="J13" s="2">
        <v>70</v>
      </c>
      <c r="K13" s="2">
        <v>0.443</v>
      </c>
      <c r="L13" s="2">
        <v>0.1096</v>
      </c>
    </row>
    <row r="14" spans="1:12" ht="15.75" thickBot="1" x14ac:dyDescent="0.3">
      <c r="A14" s="516"/>
      <c r="B14" s="9" t="s">
        <v>15</v>
      </c>
      <c r="C14" s="16" t="s">
        <v>9</v>
      </c>
      <c r="D14" s="9" t="s">
        <v>5</v>
      </c>
      <c r="E14" s="9" t="e">
        <f>E8*E13/100</f>
        <v>#DIV/0!</v>
      </c>
      <c r="F14" s="11" t="s">
        <v>14</v>
      </c>
      <c r="J14" s="2">
        <v>95</v>
      </c>
      <c r="K14" s="2">
        <v>0.32</v>
      </c>
      <c r="L14" s="2">
        <v>0.109</v>
      </c>
    </row>
    <row r="15" spans="1:12" x14ac:dyDescent="0.25">
      <c r="J15" s="2">
        <v>120</v>
      </c>
      <c r="K15" s="2">
        <v>0.253</v>
      </c>
      <c r="L15" s="2">
        <v>0.1076</v>
      </c>
    </row>
    <row r="16" spans="1:12" x14ac:dyDescent="0.25">
      <c r="J16" s="2">
        <v>150</v>
      </c>
      <c r="K16" s="2">
        <v>0.20599999999999999</v>
      </c>
      <c r="L16" s="2">
        <v>0.1074</v>
      </c>
    </row>
    <row r="17" spans="10:12" x14ac:dyDescent="0.25">
      <c r="J17" s="2">
        <v>185</v>
      </c>
      <c r="K17" s="2">
        <v>0.16400000000000001</v>
      </c>
      <c r="L17" s="2">
        <v>0.10730000000000001</v>
      </c>
    </row>
    <row r="18" spans="10:12" x14ac:dyDescent="0.25">
      <c r="J18" s="2">
        <v>240</v>
      </c>
      <c r="K18" s="2">
        <v>0.125</v>
      </c>
      <c r="L18" s="2">
        <v>0.107</v>
      </c>
    </row>
    <row r="19" spans="10:12" x14ac:dyDescent="0.25">
      <c r="J19" s="2">
        <v>300</v>
      </c>
      <c r="K19" s="2">
        <v>0.1</v>
      </c>
      <c r="L19" s="2">
        <v>0.10680000000000001</v>
      </c>
    </row>
    <row r="20" spans="10:12" x14ac:dyDescent="0.25">
      <c r="J20" s="2">
        <v>400</v>
      </c>
      <c r="K20" s="2">
        <v>7.8E-2</v>
      </c>
      <c r="L20" s="2">
        <v>0.10580000000000001</v>
      </c>
    </row>
    <row r="21" spans="10:12" x14ac:dyDescent="0.25">
      <c r="J21" s="2">
        <v>500</v>
      </c>
      <c r="K21" s="2">
        <v>6.0999999999999999E-2</v>
      </c>
      <c r="L21" s="2">
        <v>0.1051</v>
      </c>
    </row>
    <row r="22" spans="10:12" x14ac:dyDescent="0.25">
      <c r="J22" s="2">
        <v>630</v>
      </c>
      <c r="K22" s="2"/>
      <c r="L22" s="2">
        <v>0.1042</v>
      </c>
    </row>
  </sheetData>
  <mergeCells count="4">
    <mergeCell ref="A1:F1"/>
    <mergeCell ref="J2:L2"/>
    <mergeCell ref="A3:A11"/>
    <mergeCell ref="A13:A14"/>
  </mergeCells>
  <conditionalFormatting sqref="E13">
    <cfRule type="cellIs" dxfId="2" priority="1" operator="greaterThan">
      <formula>4</formula>
    </cfRule>
    <cfRule type="cellIs" dxfId="1" priority="2" operator="greaterThan">
      <formula>4</formula>
    </cfRule>
    <cfRule type="cellIs" dxfId="0" priority="3" operator="lessThan">
      <formula>4</formula>
    </cfRule>
  </conditionalFormatting>
  <pageMargins left="0.7" right="0.7" top="0.75" bottom="0.75" header="0.3" footer="0.3"/>
  <pageSetup paperSize="9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6C07C9-77FC-4D18-B93C-579BD062AD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8</vt:i4>
      </vt:variant>
    </vt:vector>
  </HeadingPairs>
  <TitlesOfParts>
    <vt:vector size="22" baseType="lpstr">
      <vt:lpstr>Dimensionamento</vt:lpstr>
      <vt:lpstr>ΔV_cobre</vt:lpstr>
      <vt:lpstr>Cu_3f &lt;25mm²</vt:lpstr>
      <vt:lpstr>Cu_3f &gt;25mm²</vt:lpstr>
      <vt:lpstr>ΔV_alumínio</vt:lpstr>
      <vt:lpstr>Conduletes</vt:lpstr>
      <vt:lpstr>Tabela 40 Temperatura</vt:lpstr>
      <vt:lpstr>Tabela 42 Agrupamento</vt:lpstr>
      <vt:lpstr>Tabela 37 EPR</vt:lpstr>
      <vt:lpstr>Módulo</vt:lpstr>
      <vt:lpstr>Inversor</vt:lpstr>
      <vt:lpstr>Disjuntor</vt:lpstr>
      <vt:lpstr>Al_3f &lt;25mm²</vt:lpstr>
      <vt:lpstr>Al_3f &gt;25mm²</vt:lpstr>
      <vt:lpstr>Corrente_corrigida_circuito_1</vt:lpstr>
      <vt:lpstr>Corrente_corrigida_circuito_2</vt:lpstr>
      <vt:lpstr>Corrente_disjuntor_circuito_1</vt:lpstr>
      <vt:lpstr>Corrente_disjuntor_circuito_2</vt:lpstr>
      <vt:lpstr>Fator_de_Temperatura</vt:lpstr>
      <vt:lpstr>Ref_p_local_circuito_1</vt:lpstr>
      <vt:lpstr>Ref_p_localização_circuito_2</vt:lpstr>
      <vt:lpstr>Dimensionamento!teste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Guilherme Maestri</dc:creator>
  <cp:lastModifiedBy>Gustavo Zanetti</cp:lastModifiedBy>
  <dcterms:created xsi:type="dcterms:W3CDTF">2018-07-31T14:50:55Z</dcterms:created>
  <dcterms:modified xsi:type="dcterms:W3CDTF">2022-03-01T17:18:42Z</dcterms:modified>
</cp:coreProperties>
</file>