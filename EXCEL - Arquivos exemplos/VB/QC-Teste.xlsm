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\Documents\GitHub\Plugin-AutoCAD-ExFil\EXCEL - Arquivos exemplos\VB\"/>
    </mc:Choice>
  </mc:AlternateContent>
  <xr:revisionPtr revIDLastSave="0" documentId="13_ncr:1_{A25EAC18-BCD6-4670-A5C7-ADE73FB260C1}" xr6:coauthVersionLast="47" xr6:coauthVersionMax="47" xr10:uidLastSave="{00000000-0000-0000-0000-000000000000}"/>
  <bookViews>
    <workbookView xWindow="-120" yWindow="-120" windowWidth="29040" windowHeight="15840" xr2:uid="{C950D6C1-EC16-4C46-9C52-C961FACA0DE2}"/>
  </bookViews>
  <sheets>
    <sheet name="QD" sheetId="1" r:id="rId1"/>
    <sheet name="ΔV_cobre" sheetId="5" r:id="rId2"/>
    <sheet name="DEFAULT" sheetId="3" r:id="rId3"/>
  </sheets>
  <externalReferences>
    <externalReference r:id="rId4"/>
  </externalReferences>
  <definedNames>
    <definedName name="IDR1_">QD!$T$4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2" i="5" l="1"/>
  <c r="O23" i="5" l="1"/>
  <c r="O22" i="5"/>
  <c r="O31" i="5" s="1"/>
  <c r="O14" i="5"/>
  <c r="O15" i="5" s="1"/>
  <c r="O13" i="5"/>
  <c r="F13" i="5"/>
  <c r="F8" i="5"/>
  <c r="F7" i="5"/>
  <c r="F14" i="5" s="1"/>
  <c r="F15" i="5" s="1"/>
  <c r="E19" i="1" l="1"/>
  <c r="I19" i="1" s="1"/>
  <c r="E15" i="1"/>
  <c r="I15" i="1" s="1"/>
  <c r="I14" i="1"/>
  <c r="E14" i="1"/>
  <c r="G14" i="1" s="1"/>
  <c r="F13" i="1"/>
  <c r="E13" i="1"/>
  <c r="I13" i="1" s="1"/>
  <c r="I12" i="1"/>
  <c r="E12" i="1"/>
  <c r="H12" i="1" s="1"/>
  <c r="E11" i="1"/>
  <c r="I11" i="1" s="1"/>
  <c r="E10" i="1"/>
  <c r="F10" i="1" s="1"/>
  <c r="E9" i="1"/>
  <c r="I9" i="1" s="1"/>
  <c r="E8" i="1"/>
  <c r="G8" i="1" s="1"/>
  <c r="F7" i="1"/>
  <c r="E7" i="1"/>
  <c r="I7" i="1" s="1"/>
  <c r="E6" i="1"/>
  <c r="H6" i="1" s="1"/>
  <c r="E5" i="1"/>
  <c r="I5" i="1" s="1"/>
  <c r="F4" i="1"/>
  <c r="E4" i="1"/>
  <c r="I4" i="1" s="1"/>
  <c r="C25" i="1" l="1"/>
  <c r="AG4" i="1"/>
  <c r="I8" i="1"/>
  <c r="I6" i="1"/>
  <c r="I10" i="1"/>
  <c r="G5" i="1"/>
  <c r="H9" i="1"/>
  <c r="G11" i="1"/>
  <c r="C19" i="1"/>
  <c r="C22" i="1"/>
  <c r="C21" i="1" s="1"/>
  <c r="H19" i="1" l="1"/>
  <c r="F19" i="1"/>
  <c r="G19" i="1"/>
</calcChain>
</file>

<file path=xl/sharedStrings.xml><?xml version="1.0" encoding="utf-8"?>
<sst xmlns="http://schemas.openxmlformats.org/spreadsheetml/2006/main" count="450" uniqueCount="187">
  <si>
    <t>NOME DO QUADRO:</t>
  </si>
  <si>
    <t>CIRCUITO</t>
  </si>
  <si>
    <t>DESCRIÇÃO (LOCAL)</t>
  </si>
  <si>
    <t>POTÊNCIA</t>
  </si>
  <si>
    <t>FASE - A</t>
  </si>
  <si>
    <t>FASE - B</t>
  </si>
  <si>
    <t>FASE - C</t>
  </si>
  <si>
    <t>CONDUTOR</t>
  </si>
  <si>
    <t>QUANTIDADE DE CABOS</t>
  </si>
  <si>
    <t>CURVA DISJUNTOR</t>
  </si>
  <si>
    <t>TIPO DISJUNTOR</t>
  </si>
  <si>
    <t>CORRENTE DISJUNTOR</t>
  </si>
  <si>
    <t>QUANTIDADE PÓLOS DISJUNTOR</t>
  </si>
  <si>
    <t>NÚMERAÇÃO I/DR</t>
  </si>
  <si>
    <t>QUANTIDADE DE PÓLOS I/DR</t>
  </si>
  <si>
    <t>FUGA I/DR</t>
  </si>
  <si>
    <t>CORRENTE I/DR</t>
  </si>
  <si>
    <t>A</t>
  </si>
  <si>
    <t>B</t>
  </si>
  <si>
    <t>D</t>
  </si>
  <si>
    <t>C</t>
  </si>
  <si>
    <t>#1,5</t>
  </si>
  <si>
    <t>#2,5</t>
  </si>
  <si>
    <t>#4,0</t>
  </si>
  <si>
    <t>#6,0</t>
  </si>
  <si>
    <t>#10,0</t>
  </si>
  <si>
    <t>#16,0</t>
  </si>
  <si>
    <t>#25,0</t>
  </si>
  <si>
    <t>#0,5</t>
  </si>
  <si>
    <t>#0,75</t>
  </si>
  <si>
    <t>#35,0</t>
  </si>
  <si>
    <t>#50,0</t>
  </si>
  <si>
    <t>#70,0</t>
  </si>
  <si>
    <t>#95,0</t>
  </si>
  <si>
    <t>#120,0</t>
  </si>
  <si>
    <t>#1,0</t>
  </si>
  <si>
    <t>#240,0</t>
  </si>
  <si>
    <t>#300,0</t>
  </si>
  <si>
    <t>DIVIDIR CABOS?</t>
  </si>
  <si>
    <t>REDUZIR TERRA?</t>
  </si>
  <si>
    <t>DIN</t>
  </si>
  <si>
    <t>CAIXA MOLDADA</t>
  </si>
  <si>
    <t>UNIPOLAR</t>
  </si>
  <si>
    <t>BIPOLAR</t>
  </si>
  <si>
    <t>TRIPOLAR</t>
  </si>
  <si>
    <t>2 A</t>
  </si>
  <si>
    <t>4 A</t>
  </si>
  <si>
    <t>6 A</t>
  </si>
  <si>
    <t>10 A</t>
  </si>
  <si>
    <t>16 A</t>
  </si>
  <si>
    <t>20 A</t>
  </si>
  <si>
    <t>25 A</t>
  </si>
  <si>
    <t>32 A</t>
  </si>
  <si>
    <t>40 A</t>
  </si>
  <si>
    <t>50 A</t>
  </si>
  <si>
    <t>63 A</t>
  </si>
  <si>
    <t>70 A</t>
  </si>
  <si>
    <t>80 A</t>
  </si>
  <si>
    <t>100 A</t>
  </si>
  <si>
    <t>125 A</t>
  </si>
  <si>
    <t>TETRAPOLAR</t>
  </si>
  <si>
    <t>30 mA</t>
  </si>
  <si>
    <t>300 mA</t>
  </si>
  <si>
    <t>CLASSE I/DR</t>
  </si>
  <si>
    <t>CLASSE A</t>
  </si>
  <si>
    <t>CLASSE AC</t>
  </si>
  <si>
    <t>CLASSE B</t>
  </si>
  <si>
    <t>CLASSE SI</t>
  </si>
  <si>
    <t>100 mA</t>
  </si>
  <si>
    <t>NÃO</t>
  </si>
  <si>
    <t>ATENÇÃO NÃO MEXER NOS VALORES DESSA PLANILHA</t>
  </si>
  <si>
    <t>TIPO CONDUTOR</t>
  </si>
  <si>
    <t>PVC 750 V</t>
  </si>
  <si>
    <t>EPR 1 kV</t>
  </si>
  <si>
    <t>HEPR 1kV</t>
  </si>
  <si>
    <t>ENTRADA DE ENERGIA</t>
  </si>
  <si>
    <t>TOTAL</t>
  </si>
  <si>
    <t>FATOR DE DEMANDA</t>
  </si>
  <si>
    <t>SEÇÃO CONDUTOR</t>
  </si>
  <si>
    <t>TIPO ISOLAÇÃO</t>
  </si>
  <si>
    <t>F+N+T</t>
  </si>
  <si>
    <t>3F+N+T</t>
  </si>
  <si>
    <t>Icu [kA]</t>
  </si>
  <si>
    <t>POTÊNCIA [W]</t>
  </si>
  <si>
    <t xml:space="preserve">FATOR DE POTÊNCIA </t>
  </si>
  <si>
    <t>POTÊNCIA [VA]</t>
  </si>
  <si>
    <t>I [A]</t>
  </si>
  <si>
    <t>3kA</t>
  </si>
  <si>
    <t>DPS</t>
  </si>
  <si>
    <t>PROTEÇÃO DPS</t>
  </si>
  <si>
    <t>DPS Classe II - 12 kA (F)</t>
  </si>
  <si>
    <t>DPS Classe II - 12 kA (FN)</t>
  </si>
  <si>
    <t>DPS Classe II - 20 kA (F)</t>
  </si>
  <si>
    <t>DPS Classe II - 20 kA (FN)</t>
  </si>
  <si>
    <t>DPS Classe II - 45 kA (F)</t>
  </si>
  <si>
    <t>DPS Classe II - 45 kA (FN)</t>
  </si>
  <si>
    <t>DPS Classe II - 60 kA (F)</t>
  </si>
  <si>
    <t>DPS Classe II - 60 kA (FN)</t>
  </si>
  <si>
    <t>DPS Classe II - 90 kA (F)</t>
  </si>
  <si>
    <t>DPS Classe II - 90 kA (FN)</t>
  </si>
  <si>
    <t>DPS Classe III - 12 kA (F)</t>
  </si>
  <si>
    <t>DPS Classe III - 12 kA (FN)</t>
  </si>
  <si>
    <t>DPS Classe III - 20 kA (F)</t>
  </si>
  <si>
    <t>DPS Classe III - 20 kA (FN)</t>
  </si>
  <si>
    <t>DPS Classe III - 45 kA (F)</t>
  </si>
  <si>
    <t>DPS Classe III - 45 kA (FN)</t>
  </si>
  <si>
    <t>DPS Classe III - 60 kA (F)</t>
  </si>
  <si>
    <t>DPS Classe III - 60 kA (FN)</t>
  </si>
  <si>
    <t>DPS Classe III - 90 kA (F)</t>
  </si>
  <si>
    <t>DPS Classe III - 90 kA (FN)</t>
  </si>
  <si>
    <t>GERAL</t>
  </si>
  <si>
    <t>RESERVA</t>
  </si>
  <si>
    <t>ILUMINAÇÃO COZINHA E SALA</t>
  </si>
  <si>
    <t>TOMADAS SALA</t>
  </si>
  <si>
    <t>TOMADAS COZINHA</t>
  </si>
  <si>
    <t>FOGÃO ELÉTRICO</t>
  </si>
  <si>
    <t>ILUMINAÇÃO QUARTOS E BWC</t>
  </si>
  <si>
    <t>TOMADAS QUARTOS E BWC</t>
  </si>
  <si>
    <t>CHUVEIRO</t>
  </si>
  <si>
    <t>AR-CONDICIONADO SALA</t>
  </si>
  <si>
    <t>AR-CONDICIONADO QUARTO 1</t>
  </si>
  <si>
    <t>AR-CONDICIONADO QUARTO 2</t>
  </si>
  <si>
    <t>(x3)</t>
  </si>
  <si>
    <t>ESPAÇOS FÍSICOS</t>
  </si>
  <si>
    <t>QD</t>
  </si>
  <si>
    <t>Queda de tensão em cabos de cobre para circuito CC e monofásico</t>
  </si>
  <si>
    <t>Queda de tensão em cabos de cobre para circuito trifásico com cabos até 25mm²</t>
  </si>
  <si>
    <t>Cabos de cobre</t>
  </si>
  <si>
    <t>Seção (mm²)</t>
  </si>
  <si>
    <t>Resistencia (mΩ/m)</t>
  </si>
  <si>
    <t>Reatância (mΩ/m)</t>
  </si>
  <si>
    <t>Constantes</t>
  </si>
  <si>
    <t>Resistividade do cobre a 20ºC</t>
  </si>
  <si>
    <t>=</t>
  </si>
  <si>
    <t>Ω.mm²/m</t>
  </si>
  <si>
    <t>Coeficiente de variação da temperatura</t>
  </si>
  <si>
    <t>1/ºC</t>
  </si>
  <si>
    <t>Dados de entrada</t>
  </si>
  <si>
    <t>Comprimento do circuito:</t>
  </si>
  <si>
    <t>m</t>
  </si>
  <si>
    <t>Corrente de projeto do circuito</t>
  </si>
  <si>
    <t>Tensão nominal</t>
  </si>
  <si>
    <t>V</t>
  </si>
  <si>
    <t>Tensão de linha do circuito</t>
  </si>
  <si>
    <t>Seção transversal do cabo</t>
  </si>
  <si>
    <t>mm²</t>
  </si>
  <si>
    <t>Temperatura máxima</t>
  </si>
  <si>
    <t>ºC</t>
  </si>
  <si>
    <t>Saída</t>
  </si>
  <si>
    <t>ρ(T)</t>
  </si>
  <si>
    <t>Queda de tensão (%)</t>
  </si>
  <si>
    <t>%</t>
  </si>
  <si>
    <t>Queda de tensão (V)</t>
  </si>
  <si>
    <t>ΔV</t>
  </si>
  <si>
    <t>Queda de tensão em cabos de cobre para circuito trifásico com cabos maiores que 25mm²</t>
  </si>
  <si>
    <t>Resistência do condutor</t>
  </si>
  <si>
    <t>mΩ/m</t>
  </si>
  <si>
    <t>Reatância do condutor</t>
  </si>
  <si>
    <t>Número de condutores em paralelo por fase</t>
  </si>
  <si>
    <t>Fator de potência</t>
  </si>
  <si>
    <t>FP</t>
  </si>
  <si>
    <r>
      <t>ρ</t>
    </r>
    <r>
      <rPr>
        <vertAlign val="subscript"/>
        <sz val="12"/>
        <color rgb="FF000000"/>
        <rFont val="Calibri"/>
        <family val="2"/>
      </rPr>
      <t>Cu,20ºC</t>
    </r>
  </si>
  <si>
    <r>
      <t>α</t>
    </r>
    <r>
      <rPr>
        <vertAlign val="subscript"/>
        <sz val="11"/>
        <color rgb="FF000000"/>
        <rFont val="Calibri"/>
        <family val="2"/>
      </rPr>
      <t>Cu</t>
    </r>
  </si>
  <si>
    <r>
      <t>L</t>
    </r>
    <r>
      <rPr>
        <vertAlign val="subscript"/>
        <sz val="11"/>
        <color rgb="FF000000"/>
        <rFont val="Calibri"/>
        <family val="2"/>
      </rPr>
      <t>c</t>
    </r>
  </si>
  <si>
    <r>
      <t>I</t>
    </r>
    <r>
      <rPr>
        <vertAlign val="subscript"/>
        <sz val="11"/>
        <color rgb="FF000000"/>
        <rFont val="Calibri"/>
        <family val="2"/>
      </rPr>
      <t>c</t>
    </r>
  </si>
  <si>
    <r>
      <t>V</t>
    </r>
    <r>
      <rPr>
        <vertAlign val="subscript"/>
        <sz val="11"/>
        <color rgb="FF000000"/>
        <rFont val="Calibri"/>
        <family val="2"/>
      </rPr>
      <t>L</t>
    </r>
  </si>
  <si>
    <r>
      <t>S</t>
    </r>
    <r>
      <rPr>
        <vertAlign val="subscript"/>
        <sz val="11"/>
        <color rgb="FF000000"/>
        <rFont val="Calibri"/>
        <family val="2"/>
      </rPr>
      <t>c</t>
    </r>
  </si>
  <si>
    <r>
      <t>T</t>
    </r>
    <r>
      <rPr>
        <vertAlign val="subscript"/>
        <sz val="11"/>
        <color rgb="FF000000"/>
        <rFont val="Calibri"/>
        <family val="2"/>
      </rPr>
      <t>max</t>
    </r>
  </si>
  <si>
    <r>
      <t>Resistividade do Cobre para T</t>
    </r>
    <r>
      <rPr>
        <vertAlign val="subscript"/>
        <sz val="11"/>
        <color rgb="FF000000"/>
        <rFont val="Calibri"/>
        <family val="2"/>
      </rPr>
      <t>max</t>
    </r>
  </si>
  <si>
    <r>
      <t>ΔV</t>
    </r>
    <r>
      <rPr>
        <vertAlign val="subscript"/>
        <sz val="11"/>
        <color rgb="FF000000"/>
        <rFont val="Calibri"/>
        <family val="2"/>
      </rPr>
      <t>%</t>
    </r>
  </si>
  <si>
    <r>
      <t>R</t>
    </r>
    <r>
      <rPr>
        <vertAlign val="subscript"/>
        <sz val="11"/>
        <color rgb="FF000000"/>
        <rFont val="Calibri"/>
        <family val="2"/>
      </rPr>
      <t>c</t>
    </r>
  </si>
  <si>
    <r>
      <t>X</t>
    </r>
    <r>
      <rPr>
        <vertAlign val="subscript"/>
        <sz val="11"/>
        <color rgb="FF000000"/>
        <rFont val="Calibri"/>
        <family val="2"/>
      </rPr>
      <t>c</t>
    </r>
  </si>
  <si>
    <r>
      <t>N</t>
    </r>
    <r>
      <rPr>
        <vertAlign val="subscript"/>
        <sz val="11"/>
        <color rgb="FF000000"/>
        <rFont val="Calibri"/>
        <family val="2"/>
      </rPr>
      <t>CP</t>
    </r>
  </si>
  <si>
    <t>Temperatura (ºC)</t>
  </si>
  <si>
    <t>Comprimento do circuito (m)</t>
  </si>
  <si>
    <t>Fator de correção por Temperatura</t>
  </si>
  <si>
    <t>Local</t>
  </si>
  <si>
    <t>Temperatura</t>
  </si>
  <si>
    <t>Circuitos agrupados</t>
  </si>
  <si>
    <t>Forma de agrupamento</t>
  </si>
  <si>
    <t>Fator de correção por agrupamento</t>
  </si>
  <si>
    <t>F.C.A.</t>
  </si>
  <si>
    <t>F.C.T.</t>
  </si>
  <si>
    <t>Método de instalação</t>
  </si>
  <si>
    <t>Corrente Corrigida (A)</t>
  </si>
  <si>
    <t>Capacidade de condução do cabo  (A)</t>
  </si>
  <si>
    <t>Queda de tensão (ΔV)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</si>
</sst>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vertAlign val="subscript"/>
      <sz val="12"/>
      <color rgb="FF000000"/>
      <name val="Calibri"/>
      <family val="2"/>
    </font>
    <font>
      <sz val="11"/>
      <name val="Calibri"/>
      <family val="2"/>
    </font>
    <font>
      <vertAlign val="subscript"/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80808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305496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A9D08E"/>
        <bgColor rgb="FF000000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8" fontId="0" fillId="0" borderId="1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8" fontId="0" fillId="0" borderId="4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8" fillId="3" borderId="0" xfId="0" applyFont="1" applyFill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8" fillId="4" borderId="0" xfId="0" applyFont="1" applyFill="1" applyAlignment="1" applyProtection="1">
      <alignment horizontal="center"/>
      <protection locked="0"/>
    </xf>
    <xf numFmtId="0" fontId="7" fillId="3" borderId="22" xfId="0" applyFon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7" fillId="3" borderId="23" xfId="0" applyFont="1" applyFill="1" applyBorder="1" applyProtection="1">
      <protection locked="0"/>
    </xf>
    <xf numFmtId="0" fontId="7" fillId="4" borderId="22" xfId="0" applyFont="1" applyFill="1" applyBorder="1" applyProtection="1">
      <protection locked="0"/>
    </xf>
    <xf numFmtId="0" fontId="7" fillId="4" borderId="23" xfId="0" applyFont="1" applyFill="1" applyBorder="1" applyProtection="1">
      <protection locked="0"/>
    </xf>
    <xf numFmtId="0" fontId="7" fillId="0" borderId="4" xfId="0" applyFont="1" applyBorder="1" applyProtection="1">
      <protection locked="0"/>
    </xf>
    <xf numFmtId="0" fontId="7" fillId="3" borderId="25" xfId="0" applyFont="1" applyFill="1" applyBorder="1" applyProtection="1">
      <protection locked="0"/>
    </xf>
    <xf numFmtId="0" fontId="7" fillId="3" borderId="25" xfId="0" applyFont="1" applyFill="1" applyBorder="1" applyAlignment="1" applyProtection="1">
      <alignment horizontal="right"/>
      <protection locked="0"/>
    </xf>
    <xf numFmtId="0" fontId="10" fillId="3" borderId="25" xfId="0" applyFont="1" applyFill="1" applyBorder="1" applyAlignment="1">
      <alignment horizontal="left"/>
    </xf>
    <xf numFmtId="0" fontId="7" fillId="3" borderId="26" xfId="0" applyFont="1" applyFill="1" applyBorder="1" applyProtection="1">
      <protection locked="0"/>
    </xf>
    <xf numFmtId="0" fontId="7" fillId="4" borderId="25" xfId="0" applyFont="1" applyFill="1" applyBorder="1" applyProtection="1">
      <protection locked="0"/>
    </xf>
    <xf numFmtId="0" fontId="7" fillId="4" borderId="25" xfId="0" applyFont="1" applyFill="1" applyBorder="1" applyAlignment="1" applyProtection="1">
      <alignment horizontal="right"/>
      <protection locked="0"/>
    </xf>
    <xf numFmtId="0" fontId="10" fillId="4" borderId="25" xfId="0" applyFont="1" applyFill="1" applyBorder="1" applyAlignment="1">
      <alignment horizontal="left"/>
    </xf>
    <xf numFmtId="0" fontId="7" fillId="4" borderId="26" xfId="0" applyFont="1" applyFill="1" applyBorder="1" applyProtection="1">
      <protection locked="0"/>
    </xf>
    <xf numFmtId="0" fontId="7" fillId="0" borderId="1" xfId="0" applyFont="1" applyBorder="1" applyProtection="1">
      <protection locked="0"/>
    </xf>
    <xf numFmtId="0" fontId="7" fillId="3" borderId="28" xfId="0" applyFont="1" applyFill="1" applyBorder="1" applyProtection="1">
      <protection locked="0"/>
    </xf>
    <xf numFmtId="0" fontId="7" fillId="3" borderId="28" xfId="0" applyFont="1" applyFill="1" applyBorder="1" applyAlignment="1" applyProtection="1">
      <alignment horizontal="right"/>
      <protection locked="0"/>
    </xf>
    <xf numFmtId="0" fontId="10" fillId="3" borderId="28" xfId="0" applyFont="1" applyFill="1" applyBorder="1" applyAlignment="1">
      <alignment horizontal="left"/>
    </xf>
    <xf numFmtId="0" fontId="7" fillId="3" borderId="29" xfId="0" applyFont="1" applyFill="1" applyBorder="1" applyProtection="1">
      <protection locked="0"/>
    </xf>
    <xf numFmtId="0" fontId="7" fillId="4" borderId="28" xfId="0" applyFont="1" applyFill="1" applyBorder="1" applyProtection="1">
      <protection locked="0"/>
    </xf>
    <xf numFmtId="0" fontId="7" fillId="4" borderId="28" xfId="0" applyFont="1" applyFill="1" applyBorder="1" applyAlignment="1" applyProtection="1">
      <alignment horizontal="right"/>
      <protection locked="0"/>
    </xf>
    <xf numFmtId="0" fontId="10" fillId="4" borderId="28" xfId="0" applyFont="1" applyFill="1" applyBorder="1" applyAlignment="1">
      <alignment horizontal="left"/>
    </xf>
    <xf numFmtId="0" fontId="7" fillId="4" borderId="29" xfId="0" applyFont="1" applyFill="1" applyBorder="1" applyProtection="1">
      <protection locked="0"/>
    </xf>
    <xf numFmtId="0" fontId="7" fillId="3" borderId="0" xfId="0" applyFont="1" applyFill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left"/>
      <protection locked="0"/>
    </xf>
    <xf numFmtId="0" fontId="12" fillId="3" borderId="25" xfId="0" applyFont="1" applyFill="1" applyBorder="1" applyAlignment="1" applyProtection="1">
      <alignment horizontal="left"/>
      <protection locked="0"/>
    </xf>
    <xf numFmtId="0" fontId="12" fillId="4" borderId="25" xfId="0" applyFont="1" applyFill="1" applyBorder="1" applyAlignment="1" applyProtection="1">
      <alignment horizontal="left"/>
      <protection locked="0"/>
    </xf>
    <xf numFmtId="0" fontId="7" fillId="3" borderId="0" xfId="0" applyFont="1" applyFill="1" applyAlignment="1" applyProtection="1">
      <alignment horizontal="right"/>
      <protection locked="0"/>
    </xf>
    <xf numFmtId="2" fontId="12" fillId="3" borderId="0" xfId="0" applyNumberFormat="1" applyFont="1" applyFill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right"/>
      <protection locked="0"/>
    </xf>
    <xf numFmtId="2" fontId="12" fillId="4" borderId="0" xfId="0" applyNumberFormat="1" applyFont="1" applyFill="1" applyAlignment="1" applyProtection="1">
      <alignment horizontal="left"/>
      <protection locked="0"/>
    </xf>
    <xf numFmtId="0" fontId="12" fillId="3" borderId="0" xfId="0" applyFont="1" applyFill="1" applyAlignment="1" applyProtection="1">
      <alignment horizontal="left"/>
      <protection locked="0"/>
    </xf>
    <xf numFmtId="0" fontId="12" fillId="4" borderId="0" xfId="0" applyFont="1" applyFill="1" applyAlignment="1" applyProtection="1">
      <alignment horizontal="left"/>
      <protection locked="0"/>
    </xf>
    <xf numFmtId="0" fontId="12" fillId="3" borderId="28" xfId="0" applyFont="1" applyFill="1" applyBorder="1" applyAlignment="1" applyProtection="1">
      <alignment horizontal="left"/>
      <protection locked="0"/>
    </xf>
    <xf numFmtId="0" fontId="12" fillId="4" borderId="28" xfId="0" applyFont="1" applyFill="1" applyBorder="1" applyAlignment="1" applyProtection="1">
      <alignment horizontal="left"/>
      <protection locked="0"/>
    </xf>
    <xf numFmtId="0" fontId="7" fillId="3" borderId="25" xfId="0" applyFont="1" applyFill="1" applyBorder="1"/>
    <xf numFmtId="0" fontId="13" fillId="3" borderId="26" xfId="0" applyFont="1" applyFill="1" applyBorder="1" applyAlignment="1" applyProtection="1">
      <alignment horizontal="left"/>
      <protection locked="0"/>
    </xf>
    <xf numFmtId="0" fontId="13" fillId="3" borderId="0" xfId="0" applyFont="1" applyFill="1" applyAlignment="1" applyProtection="1">
      <alignment horizontal="left"/>
      <protection locked="0"/>
    </xf>
    <xf numFmtId="0" fontId="7" fillId="4" borderId="25" xfId="0" applyFont="1" applyFill="1" applyBorder="1"/>
    <xf numFmtId="0" fontId="13" fillId="4" borderId="26" xfId="0" applyFont="1" applyFill="1" applyBorder="1" applyAlignment="1" applyProtection="1">
      <alignment horizontal="left"/>
      <protection locked="0"/>
    </xf>
    <xf numFmtId="0" fontId="13" fillId="4" borderId="0" xfId="0" applyFont="1" applyFill="1" applyAlignment="1" applyProtection="1">
      <alignment horizontal="left"/>
      <protection locked="0"/>
    </xf>
    <xf numFmtId="0" fontId="13" fillId="3" borderId="0" xfId="0" applyFont="1" applyFill="1" applyAlignment="1" applyProtection="1">
      <alignment horizontal="right"/>
      <protection locked="0"/>
    </xf>
    <xf numFmtId="0" fontId="7" fillId="3" borderId="0" xfId="0" applyFont="1" applyFill="1"/>
    <xf numFmtId="0" fontId="13" fillId="4" borderId="0" xfId="0" applyFont="1" applyFill="1" applyAlignment="1" applyProtection="1">
      <alignment horizontal="right"/>
      <protection locked="0"/>
    </xf>
    <xf numFmtId="0" fontId="7" fillId="4" borderId="0" xfId="0" applyFont="1" applyFill="1"/>
    <xf numFmtId="0" fontId="13" fillId="3" borderId="28" xfId="0" applyFont="1" applyFill="1" applyBorder="1" applyAlignment="1" applyProtection="1">
      <alignment horizontal="right"/>
      <protection locked="0"/>
    </xf>
    <xf numFmtId="0" fontId="7" fillId="3" borderId="28" xfId="0" applyFont="1" applyFill="1" applyBorder="1"/>
    <xf numFmtId="0" fontId="13" fillId="4" borderId="28" xfId="0" applyFont="1" applyFill="1" applyBorder="1" applyAlignment="1" applyProtection="1">
      <alignment horizontal="right"/>
      <protection locked="0"/>
    </xf>
    <xf numFmtId="0" fontId="7" fillId="4" borderId="28" xfId="0" applyFont="1" applyFill="1" applyBorder="1"/>
    <xf numFmtId="0" fontId="7" fillId="8" borderId="0" xfId="0" applyFont="1" applyFill="1" applyProtection="1">
      <protection locked="0"/>
    </xf>
    <xf numFmtId="0" fontId="8" fillId="8" borderId="0" xfId="0" applyFont="1" applyFill="1" applyAlignment="1" applyProtection="1">
      <alignment horizontal="center"/>
      <protection locked="0"/>
    </xf>
    <xf numFmtId="0" fontId="7" fillId="8" borderId="22" xfId="0" applyFont="1" applyFill="1" applyBorder="1" applyProtection="1">
      <protection locked="0"/>
    </xf>
    <xf numFmtId="0" fontId="7" fillId="8" borderId="23" xfId="0" applyFont="1" applyFill="1" applyBorder="1" applyProtection="1">
      <protection locked="0"/>
    </xf>
    <xf numFmtId="0" fontId="7" fillId="8" borderId="25" xfId="0" applyFont="1" applyFill="1" applyBorder="1" applyProtection="1">
      <protection locked="0"/>
    </xf>
    <xf numFmtId="0" fontId="7" fillId="8" borderId="25" xfId="0" applyFont="1" applyFill="1" applyBorder="1" applyAlignment="1" applyProtection="1">
      <alignment horizontal="right"/>
      <protection locked="0"/>
    </xf>
    <xf numFmtId="0" fontId="12" fillId="8" borderId="25" xfId="0" applyFont="1" applyFill="1" applyBorder="1" applyAlignment="1" applyProtection="1">
      <alignment horizontal="left"/>
      <protection locked="0"/>
    </xf>
    <xf numFmtId="0" fontId="7" fillId="8" borderId="26" xfId="0" applyFont="1" applyFill="1" applyBorder="1" applyProtection="1">
      <protection locked="0"/>
    </xf>
    <xf numFmtId="0" fontId="7" fillId="8" borderId="0" xfId="0" applyFont="1" applyFill="1" applyAlignment="1" applyProtection="1">
      <alignment horizontal="right"/>
      <protection locked="0"/>
    </xf>
    <xf numFmtId="0" fontId="12" fillId="8" borderId="0" xfId="0" applyFont="1" applyFill="1" applyAlignment="1" applyProtection="1">
      <alignment horizontal="left"/>
      <protection locked="0"/>
    </xf>
    <xf numFmtId="0" fontId="7" fillId="8" borderId="28" xfId="0" applyFont="1" applyFill="1" applyBorder="1" applyProtection="1">
      <protection locked="0"/>
    </xf>
    <xf numFmtId="0" fontId="7" fillId="8" borderId="28" xfId="0" applyFont="1" applyFill="1" applyBorder="1" applyAlignment="1" applyProtection="1">
      <alignment horizontal="right"/>
      <protection locked="0"/>
    </xf>
    <xf numFmtId="0" fontId="12" fillId="8" borderId="28" xfId="0" applyFont="1" applyFill="1" applyBorder="1" applyAlignment="1" applyProtection="1">
      <alignment horizontal="left"/>
      <protection locked="0"/>
    </xf>
    <xf numFmtId="0" fontId="7" fillId="8" borderId="29" xfId="0" applyFont="1" applyFill="1" applyBorder="1" applyProtection="1">
      <protection locked="0"/>
    </xf>
    <xf numFmtId="0" fontId="13" fillId="8" borderId="25" xfId="0" applyFont="1" applyFill="1" applyBorder="1" applyAlignment="1" applyProtection="1">
      <alignment horizontal="right"/>
      <protection locked="0"/>
    </xf>
    <xf numFmtId="0" fontId="7" fillId="8" borderId="25" xfId="0" applyFont="1" applyFill="1" applyBorder="1"/>
    <xf numFmtId="0" fontId="13" fillId="8" borderId="28" xfId="0" applyFont="1" applyFill="1" applyBorder="1" applyAlignment="1" applyProtection="1">
      <alignment horizontal="right"/>
      <protection locked="0"/>
    </xf>
    <xf numFmtId="0" fontId="7" fillId="8" borderId="28" xfId="0" applyFont="1" applyFill="1" applyBorder="1"/>
    <xf numFmtId="2" fontId="4" fillId="0" borderId="3" xfId="0" applyNumberFormat="1" applyFont="1" applyBorder="1" applyAlignment="1">
      <alignment horizontal="center" vertical="center"/>
    </xf>
    <xf numFmtId="164" fontId="7" fillId="0" borderId="0" xfId="0" applyNumberFormat="1" applyFont="1" applyProtection="1">
      <protection locked="0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6" borderId="24" xfId="0" applyFont="1" applyFill="1" applyBorder="1" applyAlignment="1" applyProtection="1">
      <alignment horizontal="center" vertical="center"/>
      <protection locked="0"/>
    </xf>
    <xf numFmtId="0" fontId="8" fillId="6" borderId="22" xfId="0" applyFont="1" applyFill="1" applyBorder="1" applyAlignment="1" applyProtection="1">
      <alignment horizontal="center" vertical="center"/>
      <protection locked="0"/>
    </xf>
    <xf numFmtId="0" fontId="8" fillId="6" borderId="27" xfId="0" applyFont="1" applyFill="1" applyBorder="1" applyAlignment="1" applyProtection="1">
      <alignment horizontal="center" vertical="center"/>
      <protection locked="0"/>
    </xf>
    <xf numFmtId="0" fontId="8" fillId="7" borderId="24" xfId="0" applyFont="1" applyFill="1" applyBorder="1" applyAlignment="1" applyProtection="1">
      <alignment horizontal="center" vertical="center"/>
      <protection locked="0"/>
    </xf>
    <xf numFmtId="0" fontId="8" fillId="7" borderId="22" xfId="0" applyFont="1" applyFill="1" applyBorder="1" applyAlignment="1" applyProtection="1">
      <alignment horizontal="center" vertical="center"/>
      <protection locked="0"/>
    </xf>
    <xf numFmtId="0" fontId="8" fillId="7" borderId="27" xfId="0" applyFont="1" applyFill="1" applyBorder="1" applyAlignment="1" applyProtection="1">
      <alignment horizontal="center" vertical="center"/>
      <protection locked="0"/>
    </xf>
    <xf numFmtId="0" fontId="8" fillId="2" borderId="17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 applyProtection="1">
      <alignment horizontal="center"/>
      <protection locked="0"/>
    </xf>
    <xf numFmtId="0" fontId="8" fillId="2" borderId="18" xfId="0" applyFont="1" applyFill="1" applyBorder="1" applyAlignment="1" applyProtection="1">
      <alignment horizontal="center"/>
      <protection locked="0"/>
    </xf>
    <xf numFmtId="0" fontId="8" fillId="5" borderId="17" xfId="0" applyFont="1" applyFill="1" applyBorder="1" applyAlignment="1" applyProtection="1">
      <alignment horizontal="center"/>
      <protection locked="0"/>
    </xf>
    <xf numFmtId="0" fontId="8" fillId="5" borderId="7" xfId="0" applyFont="1" applyFill="1" applyBorder="1" applyAlignment="1" applyProtection="1">
      <alignment horizontal="center"/>
      <protection locked="0"/>
    </xf>
    <xf numFmtId="0" fontId="8" fillId="5" borderId="18" xfId="0" applyFont="1" applyFill="1" applyBorder="1" applyAlignment="1" applyProtection="1">
      <alignment horizontal="center"/>
      <protection locked="0"/>
    </xf>
    <xf numFmtId="0" fontId="8" fillId="0" borderId="19" xfId="0" applyFont="1" applyBorder="1" applyAlignment="1" applyProtection="1">
      <alignment horizontal="center"/>
      <protection locked="0"/>
    </xf>
    <xf numFmtId="0" fontId="8" fillId="0" borderId="20" xfId="0" applyFont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9" borderId="17" xfId="0" applyFont="1" applyFill="1" applyBorder="1" applyAlignment="1" applyProtection="1">
      <alignment horizontal="center"/>
      <protection locked="0"/>
    </xf>
    <xf numFmtId="0" fontId="8" fillId="9" borderId="7" xfId="0" applyFont="1" applyFill="1" applyBorder="1" applyAlignment="1" applyProtection="1">
      <alignment horizontal="center"/>
      <protection locked="0"/>
    </xf>
    <xf numFmtId="0" fontId="8" fillId="9" borderId="18" xfId="0" applyFont="1" applyFill="1" applyBorder="1" applyAlignment="1" applyProtection="1">
      <alignment horizontal="center"/>
      <protection locked="0"/>
    </xf>
    <xf numFmtId="0" fontId="8" fillId="10" borderId="24" xfId="0" applyFont="1" applyFill="1" applyBorder="1" applyAlignment="1" applyProtection="1">
      <alignment horizontal="center" vertical="center"/>
      <protection locked="0"/>
    </xf>
    <xf numFmtId="0" fontId="8" fillId="10" borderId="22" xfId="0" applyFont="1" applyFill="1" applyBorder="1" applyAlignment="1" applyProtection="1">
      <alignment horizontal="center" vertical="center"/>
      <protection locked="0"/>
    </xf>
    <xf numFmtId="0" fontId="8" fillId="10" borderId="27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5" fillId="0" borderId="19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22">
    <dxf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ont>
        <b/>
        <i val="0"/>
        <color auto="1"/>
      </font>
      <fill>
        <patternFill>
          <fgColor auto="1"/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66"/>
      <color rgb="FFFF6600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Drive\Projetos%20el&#233;tricos\Geral_v002_n_vias_dev.xlsx" TargetMode="External"/><Relationship Id="rId1" Type="http://schemas.openxmlformats.org/officeDocument/2006/relationships/externalLinkPath" Target="file:///F:\Drive\Projetos%20el&#233;tricos\Geral_v002_n_vias_de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mensionamento"/>
      <sheetName val="ΔV_cobre"/>
      <sheetName val="Cu_3f &lt;25mm²"/>
      <sheetName val="Cu_3f &gt;25mm²"/>
      <sheetName val="ΔV_alumínio"/>
      <sheetName val="Conduletes"/>
      <sheetName val="Tabela 40 Temperatura"/>
      <sheetName val="Tabela 42 Agrupamento"/>
      <sheetName val="Tabela 37 EPR"/>
      <sheetName val="Módulo"/>
      <sheetName val="Inversor"/>
      <sheetName val="Disjuntor"/>
      <sheetName val="Al_3f &lt;25mm²"/>
      <sheetName val="Al_3f &gt;25mm²"/>
    </sheetNames>
    <sheetDataSet>
      <sheetData sheetId="0">
        <row r="22">
          <cell r="L22">
            <v>10.14</v>
          </cell>
          <cell r="P22">
            <v>72.899999999999991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9C13C7F-9C0C-45E3-9370-81696D44C6E4}">
  <we:reference id="wa200005502" version="1.0.0.11" store="pt-BR" storeType="OMEX"/>
  <we:alternateReferences>
    <we:reference id="wa200005502" version="1.0.0.11" store="wa20000550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5077-F166-4040-9421-CB252F8BDD53}">
  <sheetPr codeName="Planilha1"/>
  <dimension ref="A1:ZZ25"/>
  <sheetViews>
    <sheetView tabSelected="1" zoomScaleNormal="100" workbookViewId="0">
      <pane xSplit="2" ySplit="3" topLeftCell="X4" activePane="bottomRight" state="frozen"/>
      <selection pane="topRight" activeCell="C1" sqref="C1"/>
      <selection pane="bottomLeft" activeCell="A4" sqref="A4"/>
      <selection pane="bottomRight" activeCell="Z7" sqref="Z7"/>
    </sheetView>
  </sheetViews>
  <sheetFormatPr defaultRowHeight="15" x14ac:dyDescent="0.25"/>
  <cols>
    <col min="1" max="1" width="23.140625" style="1" bestFit="1" customWidth="1"/>
    <col min="2" max="2" width="32.85546875" style="1" bestFit="1" customWidth="1"/>
    <col min="3" max="3" width="15.140625" style="1" bestFit="1" customWidth="1"/>
    <col min="4" max="4" width="15.140625" style="48" customWidth="1"/>
    <col min="5" max="5" width="10.85546875" style="1" bestFit="1" customWidth="1"/>
    <col min="6" max="6" width="9.7109375" style="1" customWidth="1"/>
    <col min="7" max="7" width="9.85546875" style="1" customWidth="1"/>
    <col min="8" max="8" width="9.5703125" style="1" customWidth="1"/>
    <col min="9" max="9" width="7" style="1" customWidth="1"/>
    <col min="10" max="10" width="14.28515625" style="1" bestFit="1" customWidth="1"/>
    <col min="11" max="11" width="8.5703125" style="1" bestFit="1" customWidth="1"/>
    <col min="12" max="12" width="9.28515625" style="1" bestFit="1" customWidth="1"/>
    <col min="13" max="14" width="12.140625" style="1" bestFit="1" customWidth="1"/>
    <col min="15" max="16" width="11.85546875" style="1" bestFit="1" customWidth="1"/>
    <col min="17" max="17" width="19.85546875" style="1" customWidth="1"/>
    <col min="18" max="18" width="11.85546875" style="1" bestFit="1" customWidth="1"/>
    <col min="19" max="19" width="11.85546875" style="1" customWidth="1"/>
    <col min="20" max="20" width="14.140625" style="1" bestFit="1" customWidth="1"/>
    <col min="21" max="21" width="15.7109375" style="1" bestFit="1" customWidth="1"/>
    <col min="22" max="22" width="11.28515625" style="1" bestFit="1" customWidth="1"/>
    <col min="23" max="23" width="6.42578125" style="1" bestFit="1" customWidth="1"/>
    <col min="24" max="25" width="16.28515625" style="1" customWidth="1"/>
    <col min="26" max="26" width="18.42578125" style="1" customWidth="1"/>
    <col min="27" max="27" width="19.140625" style="1" customWidth="1"/>
    <col min="28" max="29" width="18.42578125" style="1" customWidth="1"/>
    <col min="30" max="30" width="14.42578125" style="1" customWidth="1"/>
    <col min="31" max="32" width="9.140625" style="1"/>
    <col min="33" max="33" width="15" style="1" customWidth="1"/>
    <col min="34" max="34" width="23.5703125" style="1" customWidth="1"/>
    <col min="35" max="35" width="15.28515625" style="1" customWidth="1"/>
    <col min="36" max="36" width="13.42578125" style="1" customWidth="1"/>
    <col min="37" max="16384" width="9.140625" style="1"/>
  </cols>
  <sheetData>
    <row r="1" spans="1:702" ht="16.5" thickBot="1" x14ac:dyDescent="0.3">
      <c r="A1" s="5" t="s">
        <v>0</v>
      </c>
      <c r="B1" s="6" t="s">
        <v>124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ZZ1" s="1">
        <v>4</v>
      </c>
    </row>
    <row r="2" spans="1:702" ht="16.5" thickBot="1" x14ac:dyDescent="0.3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Z2" s="124" t="s">
        <v>175</v>
      </c>
      <c r="AA2" s="125"/>
      <c r="AB2" s="124" t="s">
        <v>180</v>
      </c>
      <c r="AC2" s="125"/>
    </row>
    <row r="3" spans="1:702" ht="32.25" thickBot="1" x14ac:dyDescent="0.3">
      <c r="A3" s="5" t="s">
        <v>1</v>
      </c>
      <c r="B3" s="10" t="s">
        <v>2</v>
      </c>
      <c r="C3" s="5" t="s">
        <v>83</v>
      </c>
      <c r="D3" s="11" t="s">
        <v>84</v>
      </c>
      <c r="E3" s="11" t="s">
        <v>85</v>
      </c>
      <c r="F3" s="10" t="s">
        <v>4</v>
      </c>
      <c r="G3" s="5" t="s">
        <v>5</v>
      </c>
      <c r="H3" s="10" t="s">
        <v>6</v>
      </c>
      <c r="I3" s="5" t="s">
        <v>86</v>
      </c>
      <c r="J3" s="11" t="s">
        <v>8</v>
      </c>
      <c r="K3" s="12" t="s">
        <v>38</v>
      </c>
      <c r="L3" s="11" t="s">
        <v>39</v>
      </c>
      <c r="M3" s="12" t="s">
        <v>78</v>
      </c>
      <c r="N3" s="11" t="s">
        <v>79</v>
      </c>
      <c r="O3" s="12" t="s">
        <v>10</v>
      </c>
      <c r="P3" s="11" t="s">
        <v>9</v>
      </c>
      <c r="Q3" s="12" t="s">
        <v>12</v>
      </c>
      <c r="R3" s="11" t="s">
        <v>11</v>
      </c>
      <c r="S3" s="11" t="s">
        <v>82</v>
      </c>
      <c r="T3" s="12" t="s">
        <v>13</v>
      </c>
      <c r="U3" s="11" t="s">
        <v>14</v>
      </c>
      <c r="V3" s="12" t="s">
        <v>16</v>
      </c>
      <c r="W3" s="11" t="s">
        <v>15</v>
      </c>
      <c r="X3" s="11" t="s">
        <v>173</v>
      </c>
      <c r="Y3" s="11" t="s">
        <v>174</v>
      </c>
      <c r="Z3" s="11" t="s">
        <v>176</v>
      </c>
      <c r="AA3" s="11" t="s">
        <v>177</v>
      </c>
      <c r="AB3" s="11" t="s">
        <v>178</v>
      </c>
      <c r="AC3" s="11" t="s">
        <v>179</v>
      </c>
      <c r="AD3" s="11" t="s">
        <v>183</v>
      </c>
      <c r="AE3" s="11" t="s">
        <v>182</v>
      </c>
      <c r="AF3" s="11" t="s">
        <v>181</v>
      </c>
      <c r="AG3" s="11" t="s">
        <v>184</v>
      </c>
      <c r="AH3" s="11" t="s">
        <v>185</v>
      </c>
      <c r="AI3" s="11" t="s">
        <v>186</v>
      </c>
      <c r="AJ3" s="11" t="s">
        <v>150</v>
      </c>
    </row>
    <row r="4" spans="1:702" ht="15.75" x14ac:dyDescent="0.25">
      <c r="A4" s="13">
        <v>1</v>
      </c>
      <c r="B4" s="14" t="s">
        <v>112</v>
      </c>
      <c r="C4" s="15">
        <v>2000</v>
      </c>
      <c r="D4" s="16">
        <v>0.92</v>
      </c>
      <c r="E4" s="17">
        <f>C4/D4</f>
        <v>2173.913043478261</v>
      </c>
      <c r="F4" s="17">
        <f>C4</f>
        <v>2000</v>
      </c>
      <c r="G4" s="18"/>
      <c r="H4" s="18"/>
      <c r="I4" s="19">
        <f>IF(J4="F+N+T",E4/220,E4/(SQRT(3)*380))</f>
        <v>9.8814229249011856</v>
      </c>
      <c r="J4" s="7" t="s">
        <v>80</v>
      </c>
      <c r="K4" s="7" t="s">
        <v>69</v>
      </c>
      <c r="L4" s="7" t="s">
        <v>69</v>
      </c>
      <c r="M4" s="7" t="s">
        <v>21</v>
      </c>
      <c r="N4" s="7" t="s">
        <v>72</v>
      </c>
      <c r="O4" s="7" t="s">
        <v>40</v>
      </c>
      <c r="P4" s="7" t="s">
        <v>20</v>
      </c>
      <c r="Q4" s="7" t="s">
        <v>42</v>
      </c>
      <c r="R4" s="20" t="s">
        <v>48</v>
      </c>
      <c r="S4" s="20" t="s">
        <v>87</v>
      </c>
      <c r="T4" s="21">
        <v>1</v>
      </c>
      <c r="U4" s="21" t="s">
        <v>60</v>
      </c>
      <c r="V4" s="21" t="s">
        <v>55</v>
      </c>
      <c r="W4" s="21" t="s">
        <v>61</v>
      </c>
      <c r="X4" s="21">
        <v>45</v>
      </c>
      <c r="Y4" s="21">
        <v>30</v>
      </c>
      <c r="Z4" s="21"/>
      <c r="AA4" s="21"/>
      <c r="AB4" s="21"/>
      <c r="AC4" s="21"/>
      <c r="AD4" s="21"/>
      <c r="AE4" s="21">
        <v>1</v>
      </c>
      <c r="AF4" s="21">
        <v>1</v>
      </c>
      <c r="AG4" s="122">
        <f>I4/(AE4*AF4)</f>
        <v>9.8814229249011856</v>
      </c>
      <c r="AH4" s="21"/>
      <c r="AI4" s="21"/>
      <c r="AJ4" s="21"/>
    </row>
    <row r="5" spans="1:702" ht="15.75" x14ac:dyDescent="0.25">
      <c r="A5" s="13">
        <v>2</v>
      </c>
      <c r="B5" s="22" t="s">
        <v>113</v>
      </c>
      <c r="C5" s="15">
        <v>500</v>
      </c>
      <c r="D5" s="16">
        <v>0.92</v>
      </c>
      <c r="E5" s="17">
        <f t="shared" ref="E5:E15" si="0">C5/D5</f>
        <v>543.47826086956525</v>
      </c>
      <c r="F5" s="17"/>
      <c r="G5" s="18">
        <f>E5</f>
        <v>543.47826086956525</v>
      </c>
      <c r="H5" s="18"/>
      <c r="I5" s="19">
        <f t="shared" ref="I5:I15" si="1">IF(J5="F+N+T",E5/220,E5/(SQRT(3)*380))</f>
        <v>2.4703557312252964</v>
      </c>
      <c r="J5" s="7" t="s">
        <v>80</v>
      </c>
      <c r="K5" s="7" t="s">
        <v>69</v>
      </c>
      <c r="L5" s="7" t="s">
        <v>69</v>
      </c>
      <c r="M5" s="7" t="s">
        <v>22</v>
      </c>
      <c r="N5" s="7" t="s">
        <v>72</v>
      </c>
      <c r="O5" s="7" t="s">
        <v>40</v>
      </c>
      <c r="P5" s="7" t="s">
        <v>20</v>
      </c>
      <c r="Q5" s="7" t="s">
        <v>42</v>
      </c>
      <c r="R5" s="20" t="s">
        <v>49</v>
      </c>
      <c r="S5" s="20" t="s">
        <v>87</v>
      </c>
      <c r="T5" s="23">
        <v>1</v>
      </c>
      <c r="U5" s="23" t="s">
        <v>60</v>
      </c>
      <c r="V5" s="23" t="s">
        <v>55</v>
      </c>
      <c r="W5" s="23" t="s">
        <v>61</v>
      </c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</row>
    <row r="6" spans="1:702" ht="15.75" x14ac:dyDescent="0.25">
      <c r="A6" s="13">
        <v>3</v>
      </c>
      <c r="B6" s="22" t="s">
        <v>114</v>
      </c>
      <c r="C6" s="15">
        <v>1500</v>
      </c>
      <c r="D6" s="16">
        <v>0.92</v>
      </c>
      <c r="E6" s="17">
        <f t="shared" si="0"/>
        <v>1630.4347826086955</v>
      </c>
      <c r="F6" s="17"/>
      <c r="G6" s="18"/>
      <c r="H6" s="18">
        <f>E6</f>
        <v>1630.4347826086955</v>
      </c>
      <c r="I6" s="19">
        <f t="shared" si="1"/>
        <v>7.4110671936758887</v>
      </c>
      <c r="J6" s="7" t="s">
        <v>80</v>
      </c>
      <c r="K6" s="7" t="s">
        <v>69</v>
      </c>
      <c r="L6" s="7" t="s">
        <v>69</v>
      </c>
      <c r="M6" s="7" t="s">
        <v>23</v>
      </c>
      <c r="N6" s="7" t="s">
        <v>72</v>
      </c>
      <c r="O6" s="7" t="s">
        <v>40</v>
      </c>
      <c r="P6" s="7" t="s">
        <v>20</v>
      </c>
      <c r="Q6" s="7" t="s">
        <v>42</v>
      </c>
      <c r="R6" s="20" t="s">
        <v>51</v>
      </c>
      <c r="S6" s="20" t="s">
        <v>87</v>
      </c>
      <c r="T6" s="23">
        <v>1</v>
      </c>
      <c r="U6" s="23" t="s">
        <v>60</v>
      </c>
      <c r="V6" s="23" t="s">
        <v>55</v>
      </c>
      <c r="W6" s="23" t="s">
        <v>61</v>
      </c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</row>
    <row r="7" spans="1:702" ht="15.75" x14ac:dyDescent="0.25">
      <c r="A7" s="13">
        <v>4</v>
      </c>
      <c r="B7" s="22" t="s">
        <v>115</v>
      </c>
      <c r="C7" s="15">
        <v>6600</v>
      </c>
      <c r="D7" s="16">
        <v>1</v>
      </c>
      <c r="E7" s="17">
        <f t="shared" si="0"/>
        <v>6600</v>
      </c>
      <c r="F7" s="17">
        <f t="shared" ref="F7:F13" si="2">C7</f>
        <v>6600</v>
      </c>
      <c r="G7" s="18"/>
      <c r="H7" s="18"/>
      <c r="I7" s="19">
        <f t="shared" si="1"/>
        <v>30</v>
      </c>
      <c r="J7" s="7" t="s">
        <v>80</v>
      </c>
      <c r="K7" s="7" t="s">
        <v>69</v>
      </c>
      <c r="L7" s="7" t="s">
        <v>69</v>
      </c>
      <c r="M7" s="7" t="s">
        <v>24</v>
      </c>
      <c r="N7" s="7" t="s">
        <v>72</v>
      </c>
      <c r="O7" s="7" t="s">
        <v>40</v>
      </c>
      <c r="P7" s="7" t="s">
        <v>20</v>
      </c>
      <c r="Q7" s="7" t="s">
        <v>42</v>
      </c>
      <c r="R7" s="20" t="s">
        <v>52</v>
      </c>
      <c r="S7" s="20" t="s">
        <v>87</v>
      </c>
      <c r="T7" s="23">
        <v>1</v>
      </c>
      <c r="U7" s="23" t="s">
        <v>60</v>
      </c>
      <c r="V7" s="23" t="s">
        <v>55</v>
      </c>
      <c r="W7" s="23" t="s">
        <v>61</v>
      </c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</row>
    <row r="8" spans="1:702" ht="15.75" x14ac:dyDescent="0.25">
      <c r="A8" s="13">
        <v>5</v>
      </c>
      <c r="B8" s="22" t="s">
        <v>116</v>
      </c>
      <c r="C8" s="15">
        <v>200</v>
      </c>
      <c r="D8" s="16">
        <v>0.92</v>
      </c>
      <c r="E8" s="17">
        <f t="shared" si="0"/>
        <v>217.39130434782606</v>
      </c>
      <c r="F8" s="17"/>
      <c r="G8" s="18">
        <f>E8</f>
        <v>217.39130434782606</v>
      </c>
      <c r="H8" s="18"/>
      <c r="I8" s="19">
        <f t="shared" si="1"/>
        <v>0.98814229249011842</v>
      </c>
      <c r="J8" s="7" t="s">
        <v>80</v>
      </c>
      <c r="K8" s="7" t="s">
        <v>69</v>
      </c>
      <c r="L8" s="7" t="s">
        <v>69</v>
      </c>
      <c r="M8" s="7" t="s">
        <v>21</v>
      </c>
      <c r="N8" s="7" t="s">
        <v>72</v>
      </c>
      <c r="O8" s="7" t="s">
        <v>40</v>
      </c>
      <c r="P8" s="7" t="s">
        <v>20</v>
      </c>
      <c r="Q8" s="7" t="s">
        <v>42</v>
      </c>
      <c r="R8" s="20" t="s">
        <v>48</v>
      </c>
      <c r="S8" s="20" t="s">
        <v>87</v>
      </c>
      <c r="T8" s="23">
        <v>2</v>
      </c>
      <c r="U8" s="23" t="s">
        <v>60</v>
      </c>
      <c r="V8" s="23" t="s">
        <v>55</v>
      </c>
      <c r="W8" s="23" t="s">
        <v>61</v>
      </c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</row>
    <row r="9" spans="1:702" ht="15.75" x14ac:dyDescent="0.25">
      <c r="A9" s="13">
        <v>6</v>
      </c>
      <c r="B9" s="22" t="s">
        <v>117</v>
      </c>
      <c r="C9" s="15">
        <v>1100</v>
      </c>
      <c r="D9" s="16">
        <v>0.92</v>
      </c>
      <c r="E9" s="17">
        <f t="shared" si="0"/>
        <v>1195.6521739130435</v>
      </c>
      <c r="F9" s="17"/>
      <c r="G9" s="18"/>
      <c r="H9" s="18">
        <f>E9</f>
        <v>1195.6521739130435</v>
      </c>
      <c r="I9" s="19">
        <f t="shared" si="1"/>
        <v>5.4347826086956523</v>
      </c>
      <c r="J9" s="7" t="s">
        <v>80</v>
      </c>
      <c r="K9" s="7" t="s">
        <v>69</v>
      </c>
      <c r="L9" s="7" t="s">
        <v>69</v>
      </c>
      <c r="M9" s="7" t="s">
        <v>22</v>
      </c>
      <c r="N9" s="7" t="s">
        <v>72</v>
      </c>
      <c r="O9" s="7" t="s">
        <v>40</v>
      </c>
      <c r="P9" s="7" t="s">
        <v>20</v>
      </c>
      <c r="Q9" s="7" t="s">
        <v>42</v>
      </c>
      <c r="R9" s="20" t="s">
        <v>49</v>
      </c>
      <c r="S9" s="20" t="s">
        <v>87</v>
      </c>
      <c r="T9" s="23">
        <v>2</v>
      </c>
      <c r="U9" s="23" t="s">
        <v>60</v>
      </c>
      <c r="V9" s="23" t="s">
        <v>55</v>
      </c>
      <c r="W9" s="23" t="s">
        <v>61</v>
      </c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</row>
    <row r="10" spans="1:702" ht="15.75" x14ac:dyDescent="0.25">
      <c r="A10" s="13">
        <v>7</v>
      </c>
      <c r="B10" s="22" t="s">
        <v>118</v>
      </c>
      <c r="C10" s="15">
        <v>6600</v>
      </c>
      <c r="D10" s="16">
        <v>1</v>
      </c>
      <c r="E10" s="17">
        <f t="shared" si="0"/>
        <v>6600</v>
      </c>
      <c r="F10" s="17">
        <f>E10</f>
        <v>6600</v>
      </c>
      <c r="G10" s="18"/>
      <c r="H10" s="18"/>
      <c r="I10" s="19">
        <f t="shared" si="1"/>
        <v>30</v>
      </c>
      <c r="J10" s="7" t="s">
        <v>80</v>
      </c>
      <c r="K10" s="7" t="s">
        <v>69</v>
      </c>
      <c r="L10" s="7" t="s">
        <v>69</v>
      </c>
      <c r="M10" s="7" t="s">
        <v>24</v>
      </c>
      <c r="N10" s="7" t="s">
        <v>72</v>
      </c>
      <c r="O10" s="7" t="s">
        <v>40</v>
      </c>
      <c r="P10" s="7" t="s">
        <v>20</v>
      </c>
      <c r="Q10" s="7" t="s">
        <v>42</v>
      </c>
      <c r="R10" s="20" t="s">
        <v>52</v>
      </c>
      <c r="S10" s="20" t="s">
        <v>87</v>
      </c>
      <c r="T10" s="23">
        <v>2</v>
      </c>
      <c r="U10" s="23" t="s">
        <v>60</v>
      </c>
      <c r="V10" s="23" t="s">
        <v>55</v>
      </c>
      <c r="W10" s="23" t="s">
        <v>61</v>
      </c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</row>
    <row r="11" spans="1:702" ht="15.75" x14ac:dyDescent="0.25">
      <c r="A11" s="13">
        <v>8</v>
      </c>
      <c r="B11" s="22" t="s">
        <v>119</v>
      </c>
      <c r="C11" s="15">
        <v>1000</v>
      </c>
      <c r="D11" s="16">
        <v>0.92</v>
      </c>
      <c r="E11" s="17">
        <f t="shared" si="0"/>
        <v>1086.9565217391305</v>
      </c>
      <c r="F11" s="17"/>
      <c r="G11" s="18">
        <f>E11</f>
        <v>1086.9565217391305</v>
      </c>
      <c r="H11" s="18"/>
      <c r="I11" s="19">
        <f t="shared" si="1"/>
        <v>4.9407114624505928</v>
      </c>
      <c r="J11" s="7" t="s">
        <v>80</v>
      </c>
      <c r="K11" s="7" t="s">
        <v>69</v>
      </c>
      <c r="L11" s="7" t="s">
        <v>69</v>
      </c>
      <c r="M11" s="7" t="s">
        <v>22</v>
      </c>
      <c r="N11" s="7" t="s">
        <v>72</v>
      </c>
      <c r="O11" s="7" t="s">
        <v>40</v>
      </c>
      <c r="P11" s="7" t="s">
        <v>20</v>
      </c>
      <c r="Q11" s="7" t="s">
        <v>42</v>
      </c>
      <c r="R11" s="20" t="s">
        <v>49</v>
      </c>
      <c r="S11" s="20" t="s">
        <v>87</v>
      </c>
      <c r="T11" s="23">
        <v>0</v>
      </c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</row>
    <row r="12" spans="1:702" ht="15.75" x14ac:dyDescent="0.25">
      <c r="A12" s="13">
        <v>9</v>
      </c>
      <c r="B12" s="22" t="s">
        <v>120</v>
      </c>
      <c r="C12" s="15">
        <v>1000</v>
      </c>
      <c r="D12" s="16">
        <v>0.92</v>
      </c>
      <c r="E12" s="17">
        <f t="shared" si="0"/>
        <v>1086.9565217391305</v>
      </c>
      <c r="F12" s="17"/>
      <c r="G12" s="18"/>
      <c r="H12" s="18">
        <f>E12</f>
        <v>1086.9565217391305</v>
      </c>
      <c r="I12" s="19">
        <f t="shared" si="1"/>
        <v>4.9407114624505928</v>
      </c>
      <c r="J12" s="7" t="s">
        <v>80</v>
      </c>
      <c r="K12" s="7" t="s">
        <v>69</v>
      </c>
      <c r="L12" s="7" t="s">
        <v>69</v>
      </c>
      <c r="M12" s="7" t="s">
        <v>22</v>
      </c>
      <c r="N12" s="7" t="s">
        <v>72</v>
      </c>
      <c r="O12" s="7" t="s">
        <v>40</v>
      </c>
      <c r="P12" s="7" t="s">
        <v>20</v>
      </c>
      <c r="Q12" s="7" t="s">
        <v>42</v>
      </c>
      <c r="R12" s="20" t="s">
        <v>49</v>
      </c>
      <c r="S12" s="20" t="s">
        <v>87</v>
      </c>
      <c r="T12" s="23">
        <v>0</v>
      </c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</row>
    <row r="13" spans="1:702" ht="15.75" x14ac:dyDescent="0.25">
      <c r="A13" s="13">
        <v>10</v>
      </c>
      <c r="B13" s="22" t="s">
        <v>121</v>
      </c>
      <c r="C13" s="15">
        <v>1000</v>
      </c>
      <c r="D13" s="16">
        <v>0.92</v>
      </c>
      <c r="E13" s="17">
        <f t="shared" si="0"/>
        <v>1086.9565217391305</v>
      </c>
      <c r="F13" s="17">
        <f t="shared" si="2"/>
        <v>1000</v>
      </c>
      <c r="G13" s="18"/>
      <c r="H13" s="18"/>
      <c r="I13" s="19">
        <f t="shared" si="1"/>
        <v>4.9407114624505928</v>
      </c>
      <c r="J13" s="7" t="s">
        <v>80</v>
      </c>
      <c r="K13" s="7" t="s">
        <v>69</v>
      </c>
      <c r="L13" s="7" t="s">
        <v>69</v>
      </c>
      <c r="M13" s="7" t="s">
        <v>22</v>
      </c>
      <c r="N13" s="7" t="s">
        <v>72</v>
      </c>
      <c r="O13" s="7" t="s">
        <v>40</v>
      </c>
      <c r="P13" s="7" t="s">
        <v>20</v>
      </c>
      <c r="Q13" s="7" t="s">
        <v>42</v>
      </c>
      <c r="R13" s="20" t="s">
        <v>49</v>
      </c>
      <c r="S13" s="20" t="s">
        <v>87</v>
      </c>
      <c r="T13" s="23">
        <v>0</v>
      </c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</row>
    <row r="14" spans="1:702" ht="15.75" x14ac:dyDescent="0.25">
      <c r="A14" s="13">
        <v>11</v>
      </c>
      <c r="B14" s="22" t="s">
        <v>111</v>
      </c>
      <c r="C14" s="15">
        <v>100</v>
      </c>
      <c r="D14" s="16">
        <v>0.92</v>
      </c>
      <c r="E14" s="17">
        <f t="shared" si="0"/>
        <v>108.69565217391303</v>
      </c>
      <c r="F14" s="17"/>
      <c r="G14" s="18">
        <f>E14</f>
        <v>108.69565217391303</v>
      </c>
      <c r="H14" s="18"/>
      <c r="I14" s="19">
        <f t="shared" si="1"/>
        <v>0.49407114624505921</v>
      </c>
      <c r="J14" s="7" t="s">
        <v>80</v>
      </c>
      <c r="K14" s="7" t="s">
        <v>69</v>
      </c>
      <c r="L14" s="7" t="s">
        <v>69</v>
      </c>
      <c r="M14" s="7" t="s">
        <v>22</v>
      </c>
      <c r="N14" s="7" t="s">
        <v>72</v>
      </c>
      <c r="O14" s="7" t="s">
        <v>40</v>
      </c>
      <c r="P14" s="7" t="s">
        <v>20</v>
      </c>
      <c r="Q14" s="7" t="s">
        <v>42</v>
      </c>
      <c r="R14" s="20" t="s">
        <v>49</v>
      </c>
      <c r="S14" s="20" t="s">
        <v>87</v>
      </c>
      <c r="T14" s="23">
        <v>0</v>
      </c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</row>
    <row r="15" spans="1:702" ht="15.75" x14ac:dyDescent="0.25">
      <c r="A15" s="13" t="s">
        <v>122</v>
      </c>
      <c r="B15" s="22" t="s">
        <v>123</v>
      </c>
      <c r="C15" s="15">
        <v>0</v>
      </c>
      <c r="D15" s="16">
        <v>0.92</v>
      </c>
      <c r="E15" s="17">
        <f t="shared" si="0"/>
        <v>0</v>
      </c>
      <c r="F15" s="17"/>
      <c r="G15" s="18"/>
      <c r="H15" s="18"/>
      <c r="I15" s="19">
        <f t="shared" si="1"/>
        <v>0</v>
      </c>
      <c r="J15" s="7"/>
      <c r="K15" s="7"/>
      <c r="L15" s="7"/>
      <c r="M15" s="7"/>
      <c r="N15" s="7"/>
      <c r="O15" s="7"/>
      <c r="P15" s="7"/>
      <c r="Q15" s="7"/>
      <c r="R15" s="20"/>
      <c r="S15" s="20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</row>
    <row r="16" spans="1:702" ht="15.75" x14ac:dyDescent="0.25">
      <c r="A16" s="13"/>
      <c r="B16" s="22"/>
      <c r="C16" s="15"/>
      <c r="D16" s="16"/>
      <c r="E16" s="17"/>
      <c r="F16" s="17"/>
      <c r="G16" s="18"/>
      <c r="H16" s="18"/>
      <c r="I16" s="19"/>
      <c r="J16" s="7"/>
      <c r="K16" s="7"/>
      <c r="L16" s="7"/>
      <c r="M16" s="7"/>
      <c r="N16" s="7"/>
      <c r="O16" s="7"/>
      <c r="P16" s="7"/>
      <c r="Q16" s="7"/>
      <c r="R16" s="20"/>
      <c r="S16" s="20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</row>
    <row r="17" spans="1:36" x14ac:dyDescent="0.25">
      <c r="A17" s="24" t="s">
        <v>88</v>
      </c>
      <c r="B17" s="7" t="s">
        <v>93</v>
      </c>
      <c r="C17" s="7"/>
      <c r="D17" s="16"/>
      <c r="E17" s="7"/>
      <c r="F17" s="13"/>
      <c r="G17" s="13"/>
      <c r="H17" s="13"/>
      <c r="I17" s="13"/>
      <c r="J17" s="7" t="s">
        <v>81</v>
      </c>
      <c r="K17" s="7" t="s">
        <v>69</v>
      </c>
      <c r="L17" s="7" t="s">
        <v>69</v>
      </c>
      <c r="M17" s="7" t="s">
        <v>24</v>
      </c>
      <c r="N17" s="7" t="s">
        <v>72</v>
      </c>
      <c r="O17" s="7" t="s">
        <v>40</v>
      </c>
      <c r="P17" s="7" t="s">
        <v>20</v>
      </c>
      <c r="Q17" s="7" t="s">
        <v>44</v>
      </c>
      <c r="R17" s="20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ht="15.75" x14ac:dyDescent="0.25">
      <c r="A18" s="25" t="s">
        <v>89</v>
      </c>
      <c r="B18" s="26"/>
      <c r="C18" s="26"/>
      <c r="D18" s="27"/>
      <c r="E18" s="26"/>
      <c r="F18" s="28"/>
      <c r="G18" s="28"/>
      <c r="H18" s="28"/>
      <c r="I18" s="28"/>
      <c r="J18" s="13"/>
      <c r="K18" s="13"/>
      <c r="L18" s="13"/>
      <c r="M18" s="13"/>
      <c r="N18" s="13"/>
      <c r="O18" s="13"/>
      <c r="P18" s="13"/>
      <c r="Q18" s="13"/>
      <c r="R18" s="29"/>
      <c r="S18" s="20"/>
      <c r="T18" s="23"/>
      <c r="U18" s="30"/>
      <c r="V18" s="30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</row>
    <row r="19" spans="1:36" ht="15.75" x14ac:dyDescent="0.25">
      <c r="A19" s="25" t="s">
        <v>75</v>
      </c>
      <c r="B19" s="26" t="s">
        <v>110</v>
      </c>
      <c r="C19" s="26">
        <f>SUM(C4:C16)</f>
        <v>21600</v>
      </c>
      <c r="D19" s="27"/>
      <c r="E19" s="31">
        <f>SUM(E4:E15)</f>
        <v>22330.4347826087</v>
      </c>
      <c r="F19" s="31">
        <f>SUM(F4:F16)</f>
        <v>16200</v>
      </c>
      <c r="G19" s="31">
        <f>SUM(G4:G16)</f>
        <v>1956.5217391304348</v>
      </c>
      <c r="H19" s="31">
        <f>SUM(H4:H16)</f>
        <v>3913.0434782608695</v>
      </c>
      <c r="I19" s="19">
        <f>IF(J19="F+N+T",E19/220,E19/(SQRT(3)*380))</f>
        <v>33.927585612790828</v>
      </c>
      <c r="J19" s="13" t="s">
        <v>81</v>
      </c>
      <c r="K19" s="13" t="s">
        <v>69</v>
      </c>
      <c r="L19" s="13" t="s">
        <v>69</v>
      </c>
      <c r="M19" s="13" t="s">
        <v>25</v>
      </c>
      <c r="N19" s="13" t="s">
        <v>73</v>
      </c>
      <c r="O19" s="13" t="s">
        <v>40</v>
      </c>
      <c r="P19" s="13" t="s">
        <v>20</v>
      </c>
      <c r="Q19" s="13" t="s">
        <v>44</v>
      </c>
      <c r="R19" s="20" t="s">
        <v>54</v>
      </c>
      <c r="S19" s="20" t="s">
        <v>87</v>
      </c>
      <c r="T19" s="23">
        <v>0</v>
      </c>
      <c r="U19" s="30"/>
      <c r="V19" s="30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</row>
    <row r="20" spans="1:36" ht="16.5" thickBot="1" x14ac:dyDescent="0.3">
      <c r="A20" s="32"/>
      <c r="B20" s="28"/>
      <c r="C20" s="2"/>
      <c r="D20" s="33"/>
      <c r="E20" s="34"/>
      <c r="F20" s="34"/>
      <c r="G20" s="35"/>
      <c r="H20" s="35"/>
      <c r="I20" s="35"/>
      <c r="J20" s="13"/>
      <c r="K20" s="13"/>
      <c r="L20" s="13"/>
      <c r="M20" s="13"/>
      <c r="N20" s="13"/>
      <c r="O20" s="13"/>
      <c r="P20" s="13"/>
      <c r="Q20" s="13"/>
      <c r="R20" s="29"/>
      <c r="S20" s="20"/>
      <c r="T20" s="23"/>
      <c r="U20" s="30"/>
      <c r="V20" s="30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</row>
    <row r="21" spans="1:36" ht="16.5" thickBot="1" x14ac:dyDescent="0.3">
      <c r="A21" s="5" t="s">
        <v>77</v>
      </c>
      <c r="B21" s="36">
        <v>0.85</v>
      </c>
      <c r="C21" s="37">
        <f>C22*B21</f>
        <v>18360</v>
      </c>
      <c r="D21" s="38"/>
      <c r="E21" s="39"/>
      <c r="F21" s="40"/>
      <c r="G21" s="41"/>
      <c r="H21" s="41"/>
      <c r="I21" s="41"/>
      <c r="J21" s="26"/>
      <c r="K21" s="26"/>
      <c r="L21" s="26"/>
      <c r="M21" s="26"/>
      <c r="N21" s="7"/>
      <c r="O21" s="26"/>
      <c r="P21" s="26"/>
      <c r="Q21" s="30"/>
      <c r="R21" s="26"/>
      <c r="S21" s="41"/>
      <c r="T21" s="41"/>
      <c r="U21" s="42"/>
      <c r="V21" s="42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</row>
    <row r="22" spans="1:36" ht="16.5" thickBot="1" x14ac:dyDescent="0.3">
      <c r="A22" s="36" t="s">
        <v>76</v>
      </c>
      <c r="B22" s="43"/>
      <c r="C22" s="36">
        <f>SUM(C4:C16)</f>
        <v>21600</v>
      </c>
      <c r="D22" s="44"/>
      <c r="E22" s="45"/>
      <c r="F22" s="37"/>
      <c r="G22" s="37"/>
      <c r="H22" s="37"/>
      <c r="I22" s="46"/>
      <c r="J22" s="47"/>
      <c r="K22" s="26"/>
      <c r="L22" s="26"/>
      <c r="M22" s="26"/>
      <c r="N22" s="7"/>
      <c r="O22" s="26"/>
      <c r="P22" s="26"/>
      <c r="Q22" s="30"/>
      <c r="R22" s="26"/>
      <c r="S22" s="26"/>
      <c r="T22" s="26"/>
      <c r="U22" s="30"/>
      <c r="V22" s="30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5" spans="1:36" x14ac:dyDescent="0.25">
      <c r="C25" s="1" t="b">
        <f>VALUE(LEFT(R4, FIND(" ", R4))) &lt;I4</f>
        <v>0</v>
      </c>
    </row>
  </sheetData>
  <mergeCells count="2">
    <mergeCell ref="Z2:AA2"/>
    <mergeCell ref="AB2:AC2"/>
  </mergeCells>
  <phoneticPr fontId="6" type="noConversion"/>
  <conditionalFormatting sqref="A1:XFD1 AD2:XFD2 A2:Z2 AB2 A3:XFD1048576">
    <cfRule type="expression" dxfId="9" priority="4">
      <formula>CELL("LIN")=ROW()</formula>
    </cfRule>
  </conditionalFormatting>
  <conditionalFormatting sqref="R4:R14">
    <cfRule type="expression" dxfId="8" priority="3">
      <formula>VALUE(LEFT(R4, FIND(" ", R4))) &lt;I4</formula>
    </cfRule>
  </conditionalFormatting>
  <conditionalFormatting sqref="R19">
    <cfRule type="expression" dxfId="7" priority="2">
      <formula>VALUE(LEFT(R19, FIND(" ", R19))) &lt;I19</formula>
    </cfRule>
  </conditionalFormatting>
  <conditionalFormatting sqref="R17">
    <cfRule type="expression" dxfId="6" priority="1">
      <formula>VALUE(LEFT(R17, FIND(" ", R17))) &lt;I17</formula>
    </cfRule>
  </conditionalFormatting>
  <conditionalFormatting sqref="A1:XFD1048576">
    <cfRule type="expression" dxfId="5" priority="5">
      <formula>CELL("COL")=COLUMN()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InputMessage="1" showErrorMessage="1" errorTitle="Entrada Inválida" error="Você selecionou um valor que não está presente na lista!" xr:uid="{10CD9C36-34B8-4D6A-BDFC-C0E22C073A37}">
          <x14:formula1>
            <xm:f>DEFAULT!$O$4:$O$6</xm:f>
          </x14:formula1>
          <xm:sqref>U4:U17</xm:sqref>
        </x14:dataValidation>
        <x14:dataValidation type="list" errorStyle="warning" allowBlank="1" showInputMessage="1" showErrorMessage="1" errorTitle="Entrada Inválida" error="Você selecionou um valor que não está presente na lista!" xr:uid="{A4D9E258-DB64-4EB7-BF60-269EFFD389B8}">
          <x14:formula1>
            <xm:f>DEFAULT!$P$4:$P$7</xm:f>
          </x14:formula1>
          <xm:sqref>V4:V17</xm:sqref>
        </x14:dataValidation>
        <x14:dataValidation type="list" errorStyle="warning" allowBlank="1" showInputMessage="1" showErrorMessage="1" errorTitle="Entrada Inválida!" error="Você selecionou um valor que não está presente na lista!" xr:uid="{EF6E8146-181C-4FA6-918F-73161958FCB3}">
          <x14:formula1>
            <xm:f>DEFAULT!$Q$4:$Q$6</xm:f>
          </x14:formula1>
          <xm:sqref>W4:W17</xm:sqref>
        </x14:dataValidation>
        <x14:dataValidation type="list" errorStyle="warning" allowBlank="1" showInputMessage="1" showErrorMessage="1" errorTitle="Entrada Inválida" error="Você selecionou um valor que não está presente na lista!" xr:uid="{77BA229F-12BA-4899-AF25-40023EA41510}">
          <x14:formula1>
            <xm:f>DEFAULT!$G$4:$G$5</xm:f>
          </x14:formula1>
          <xm:sqref>J18:J20</xm:sqref>
        </x14:dataValidation>
        <x14:dataValidation type="list" errorStyle="warning" allowBlank="1" showInputMessage="1" showErrorMessage="1" errorTitle="Entrada Inválida" error="Você selecionou um valor que não está presente na lista!" xr:uid="{F584613E-804F-4B0A-A2C4-092D85D5F9F2}">
          <x14:formula1>
            <xm:f>DEFAULT!$H$4:$H$25</xm:f>
          </x14:formula1>
          <xm:sqref>M18:M20 M4:M16</xm:sqref>
        </x14:dataValidation>
        <x14:dataValidation type="list" errorStyle="warning" allowBlank="1" showInputMessage="1" showErrorMessage="1" errorTitle="Entrada Inválida!" error="Você selecionou um valor que não está presente na lista!" xr:uid="{A28216E5-B374-4498-8B30-24511B70FBE7}">
          <x14:formula1>
            <xm:f>DEFAULT!$J$4:$J$11</xm:f>
          </x14:formula1>
          <xm:sqref>O18:O20 O4:O16</xm:sqref>
        </x14:dataValidation>
        <x14:dataValidation type="list" errorStyle="warning" allowBlank="1" showInputMessage="1" showErrorMessage="1" errorTitle="Entrada Inválida!" error="Você selecionou um valor que não está presente na lista!" xr:uid="{3AC0380D-44CF-49CC-83C5-5DA070D91F5A}">
          <x14:formula1>
            <xm:f>DEFAULT!$K$4:$K$7</xm:f>
          </x14:formula1>
          <xm:sqref>P18:P20 P4:P16</xm:sqref>
        </x14:dataValidation>
        <x14:dataValidation type="list" errorStyle="warning" allowBlank="1" showInputMessage="1" showErrorMessage="1" errorTitle="Entrada Inválida!" error="Você selecionou um valor que não está presente na lista!" xr:uid="{EC53200E-40F5-46AD-AA92-E7A298E448A4}">
          <x14:formula1>
            <xm:f>DEFAULT!$L$4:$L$6</xm:f>
          </x14:formula1>
          <xm:sqref>Q18:Q20 Q4:Q16</xm:sqref>
        </x14:dataValidation>
        <x14:dataValidation type="list" errorStyle="warning" allowBlank="1" showInputMessage="1" showErrorMessage="1" errorTitle="Entrada Inválida" error="Você selecionou um valor que não está presente na lista!" xr:uid="{5AC8D33E-13C3-48FB-B935-3E788F7B42CA}">
          <x14:formula1>
            <xm:f>DEFAULT!$I$4:$I$6</xm:f>
          </x14:formula1>
          <xm:sqref>N18:N22 N4:N16</xm:sqref>
        </x14:dataValidation>
        <x14:dataValidation type="list" allowBlank="1" showInputMessage="1" showErrorMessage="1" xr:uid="{AF427BBD-F2E3-438B-889B-BC4E17C53D53}">
          <x14:formula1>
            <xm:f>DEFAULT!$S$4:$S$23</xm:f>
          </x14:formula1>
          <xm:sqref>B17</xm:sqref>
        </x14:dataValidation>
        <x14:dataValidation type="list" errorStyle="warning" allowBlank="1" showInputMessage="1" showErrorMessage="1" errorTitle="Entrada Inválida" error="Você selecionou um valor que não está presente na lista!" xr:uid="{FC37381C-32D9-431E-9E51-2240FA935E5F}">
          <x14:formula1>
            <xm:f>DEFAULT!$G$4:$G$8</xm:f>
          </x14:formula1>
          <xm:sqref>J4:J16</xm:sqref>
        </x14:dataValidation>
        <x14:dataValidation type="list" errorStyle="warning" allowBlank="1" showInputMessage="1" showErrorMessage="1" errorTitle="Entrada Inválida!" error="Você selecionou um valor que não está presente na lista!" xr:uid="{D29E858B-D843-4126-81AF-55B966CDFFCE}">
          <x14:formula1>
            <xm:f>DEFAULT!$M$4:$M$18</xm:f>
          </x14:formula1>
          <xm:sqref>R4:S20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51D1C-1DEB-454D-92C8-4A1A7939E53B}">
  <sheetPr codeName="Planilha3"/>
  <dimension ref="B1:U33"/>
  <sheetViews>
    <sheetView workbookViewId="0">
      <selection activeCell="O33" sqref="O33"/>
    </sheetView>
  </sheetViews>
  <sheetFormatPr defaultRowHeight="15" x14ac:dyDescent="0.25"/>
  <cols>
    <col min="1" max="1" width="3.140625" customWidth="1"/>
    <col min="2" max="2" width="16.5703125" bestFit="1" customWidth="1"/>
    <col min="3" max="3" width="36.7109375" bestFit="1" customWidth="1"/>
    <col min="4" max="4" width="7.5703125" bestFit="1" customWidth="1"/>
    <col min="5" max="5" width="2" bestFit="1" customWidth="1"/>
    <col min="6" max="6" width="12" bestFit="1" customWidth="1"/>
    <col min="7" max="7" width="9.7109375" bestFit="1" customWidth="1"/>
    <col min="8" max="8" width="2.42578125" customWidth="1"/>
    <col min="9" max="9" width="5.42578125" customWidth="1"/>
    <col min="10" max="10" width="2.7109375" customWidth="1"/>
    <col min="11" max="11" width="16.5703125" bestFit="1" customWidth="1"/>
    <col min="12" max="12" width="41" bestFit="1" customWidth="1"/>
    <col min="13" max="13" width="7.5703125" bestFit="1" customWidth="1"/>
    <col min="14" max="14" width="2" bestFit="1" customWidth="1"/>
    <col min="15" max="15" width="12" bestFit="1" customWidth="1"/>
    <col min="16" max="16" width="9.7109375" bestFit="1" customWidth="1"/>
    <col min="17" max="17" width="2" customWidth="1"/>
    <col min="19" max="19" width="12.5703125" bestFit="1" customWidth="1"/>
    <col min="20" max="20" width="18.85546875" bestFit="1" customWidth="1"/>
    <col min="21" max="21" width="17.42578125" bestFit="1" customWidth="1"/>
  </cols>
  <sheetData>
    <row r="1" spans="2:21" ht="15.75" thickBot="1" x14ac:dyDescent="0.3"/>
    <row r="2" spans="2:21" ht="15.75" thickBot="1" x14ac:dyDescent="0.3">
      <c r="B2" s="132" t="s">
        <v>125</v>
      </c>
      <c r="C2" s="133"/>
      <c r="D2" s="133"/>
      <c r="E2" s="133"/>
      <c r="F2" s="133"/>
      <c r="G2" s="134"/>
      <c r="H2" s="51"/>
      <c r="I2" s="52"/>
      <c r="J2" s="53"/>
      <c r="K2" s="135" t="s">
        <v>126</v>
      </c>
      <c r="L2" s="136"/>
      <c r="M2" s="136"/>
      <c r="N2" s="136"/>
      <c r="O2" s="136"/>
      <c r="P2" s="137"/>
      <c r="Q2" s="54"/>
      <c r="R2" s="52"/>
      <c r="S2" s="138" t="s">
        <v>127</v>
      </c>
      <c r="T2" s="139"/>
      <c r="U2" s="140"/>
    </row>
    <row r="3" spans="2:21" ht="15.75" thickBot="1" x14ac:dyDescent="0.3">
      <c r="B3" s="55"/>
      <c r="C3" s="56"/>
      <c r="D3" s="56"/>
      <c r="E3" s="56"/>
      <c r="F3" s="56"/>
      <c r="G3" s="57"/>
      <c r="H3" s="56"/>
      <c r="I3" s="52"/>
      <c r="J3" s="53"/>
      <c r="K3" s="58"/>
      <c r="L3" s="53"/>
      <c r="M3" s="53"/>
      <c r="N3" s="53"/>
      <c r="O3" s="53"/>
      <c r="P3" s="59"/>
      <c r="Q3" s="53"/>
      <c r="R3" s="52"/>
      <c r="S3" s="60" t="s">
        <v>128</v>
      </c>
      <c r="T3" s="60" t="s">
        <v>129</v>
      </c>
      <c r="U3" s="60" t="s">
        <v>130</v>
      </c>
    </row>
    <row r="4" spans="2:21" ht="18.75" x14ac:dyDescent="0.35">
      <c r="B4" s="126" t="s">
        <v>131</v>
      </c>
      <c r="C4" s="61" t="s">
        <v>132</v>
      </c>
      <c r="D4" s="62" t="s">
        <v>161</v>
      </c>
      <c r="E4" s="61" t="s">
        <v>133</v>
      </c>
      <c r="F4" s="63">
        <v>1.7850000000000001E-2</v>
      </c>
      <c r="G4" s="64" t="s">
        <v>134</v>
      </c>
      <c r="H4" s="56"/>
      <c r="I4" s="52"/>
      <c r="J4" s="53"/>
      <c r="K4" s="129" t="s">
        <v>131</v>
      </c>
      <c r="L4" s="65" t="s">
        <v>132</v>
      </c>
      <c r="M4" s="66" t="s">
        <v>161</v>
      </c>
      <c r="N4" s="65" t="s">
        <v>133</v>
      </c>
      <c r="O4" s="67">
        <v>1.7850000000000001E-2</v>
      </c>
      <c r="P4" s="68" t="s">
        <v>134</v>
      </c>
      <c r="Q4" s="53"/>
      <c r="R4" s="52"/>
      <c r="S4" s="69">
        <v>1.5</v>
      </c>
      <c r="T4" s="69">
        <v>14.813700000000001</v>
      </c>
      <c r="U4" s="69">
        <v>0.13780000000000001</v>
      </c>
    </row>
    <row r="5" spans="2:21" ht="18.75" thickBot="1" x14ac:dyDescent="0.4">
      <c r="B5" s="128"/>
      <c r="C5" s="70" t="s">
        <v>135</v>
      </c>
      <c r="D5" s="71" t="s">
        <v>162</v>
      </c>
      <c r="E5" s="70" t="s">
        <v>133</v>
      </c>
      <c r="F5" s="72">
        <v>3.8999999999999998E-3</v>
      </c>
      <c r="G5" s="73" t="s">
        <v>136</v>
      </c>
      <c r="H5" s="56"/>
      <c r="I5" s="52"/>
      <c r="J5" s="53"/>
      <c r="K5" s="131"/>
      <c r="L5" s="74" t="s">
        <v>135</v>
      </c>
      <c r="M5" s="75" t="s">
        <v>162</v>
      </c>
      <c r="N5" s="74" t="s">
        <v>133</v>
      </c>
      <c r="O5" s="76">
        <v>3.8999999999999998E-3</v>
      </c>
      <c r="P5" s="77" t="s">
        <v>136</v>
      </c>
      <c r="Q5" s="53"/>
      <c r="R5" s="52"/>
      <c r="S5" s="69">
        <v>2.5</v>
      </c>
      <c r="T5" s="69">
        <v>8.8881999999999994</v>
      </c>
      <c r="U5" s="69">
        <v>0.13450000000000001</v>
      </c>
    </row>
    <row r="6" spans="2:21" ht="15.75" thickBot="1" x14ac:dyDescent="0.3">
      <c r="B6" s="55"/>
      <c r="C6" s="56"/>
      <c r="D6" s="56"/>
      <c r="E6" s="56"/>
      <c r="F6" s="78"/>
      <c r="G6" s="57"/>
      <c r="H6" s="56"/>
      <c r="I6" s="52"/>
      <c r="J6" s="53"/>
      <c r="K6" s="58"/>
      <c r="L6" s="53"/>
      <c r="M6" s="53"/>
      <c r="N6" s="53"/>
      <c r="O6" s="79"/>
      <c r="P6" s="59"/>
      <c r="Q6" s="53"/>
      <c r="R6" s="52"/>
      <c r="S6" s="69">
        <v>4</v>
      </c>
      <c r="T6" s="69">
        <v>5.5518000000000001</v>
      </c>
      <c r="U6" s="69">
        <v>0.12790000000000001</v>
      </c>
    </row>
    <row r="7" spans="2:21" ht="18" x14ac:dyDescent="0.35">
      <c r="B7" s="126" t="s">
        <v>137</v>
      </c>
      <c r="C7" s="61" t="s">
        <v>138</v>
      </c>
      <c r="D7" s="62" t="s">
        <v>163</v>
      </c>
      <c r="E7" s="61" t="s">
        <v>133</v>
      </c>
      <c r="F7" s="80">
        <f>[1]Dimensionamento!P22</f>
        <v>72.899999999999991</v>
      </c>
      <c r="G7" s="64" t="s">
        <v>139</v>
      </c>
      <c r="H7" s="56"/>
      <c r="I7" s="52"/>
      <c r="J7" s="53"/>
      <c r="K7" s="129" t="s">
        <v>137</v>
      </c>
      <c r="L7" s="65" t="s">
        <v>138</v>
      </c>
      <c r="M7" s="66" t="s">
        <v>163</v>
      </c>
      <c r="N7" s="65" t="s">
        <v>133</v>
      </c>
      <c r="O7" s="81">
        <v>50</v>
      </c>
      <c r="P7" s="68" t="s">
        <v>139</v>
      </c>
      <c r="Q7" s="53"/>
      <c r="R7" s="52"/>
      <c r="S7" s="69">
        <v>6</v>
      </c>
      <c r="T7" s="69">
        <v>3.7035</v>
      </c>
      <c r="U7" s="69">
        <v>0.1225</v>
      </c>
    </row>
    <row r="8" spans="2:21" ht="18" x14ac:dyDescent="0.35">
      <c r="B8" s="127"/>
      <c r="C8" s="56" t="s">
        <v>140</v>
      </c>
      <c r="D8" s="82" t="s">
        <v>164</v>
      </c>
      <c r="E8" s="56" t="s">
        <v>133</v>
      </c>
      <c r="F8" s="83">
        <f>[1]Dimensionamento!L22</f>
        <v>10.14</v>
      </c>
      <c r="G8" s="57" t="s">
        <v>17</v>
      </c>
      <c r="H8" s="56"/>
      <c r="I8" s="52"/>
      <c r="J8" s="53"/>
      <c r="K8" s="130"/>
      <c r="L8" s="53" t="s">
        <v>140</v>
      </c>
      <c r="M8" s="84" t="s">
        <v>164</v>
      </c>
      <c r="N8" s="53" t="s">
        <v>133</v>
      </c>
      <c r="O8" s="85">
        <v>18.2</v>
      </c>
      <c r="P8" s="59" t="s">
        <v>17</v>
      </c>
      <c r="Q8" s="53"/>
      <c r="R8" s="52"/>
      <c r="S8" s="69">
        <v>10</v>
      </c>
      <c r="T8" s="69">
        <v>2.2221000000000002</v>
      </c>
      <c r="U8" s="69">
        <v>0.1207</v>
      </c>
    </row>
    <row r="9" spans="2:21" ht="18" x14ac:dyDescent="0.35">
      <c r="B9" s="127"/>
      <c r="C9" s="56" t="s">
        <v>141</v>
      </c>
      <c r="D9" s="82" t="s">
        <v>165</v>
      </c>
      <c r="E9" s="56" t="s">
        <v>133</v>
      </c>
      <c r="F9" s="86">
        <v>500</v>
      </c>
      <c r="G9" s="57" t="s">
        <v>142</v>
      </c>
      <c r="H9" s="56"/>
      <c r="I9" s="52"/>
      <c r="J9" s="53"/>
      <c r="K9" s="130"/>
      <c r="L9" s="53" t="s">
        <v>143</v>
      </c>
      <c r="M9" s="84" t="s">
        <v>165</v>
      </c>
      <c r="N9" s="53" t="s">
        <v>133</v>
      </c>
      <c r="O9" s="87">
        <v>220</v>
      </c>
      <c r="P9" s="59" t="s">
        <v>142</v>
      </c>
      <c r="Q9" s="53"/>
      <c r="R9" s="52"/>
      <c r="S9" s="69">
        <v>16</v>
      </c>
      <c r="T9" s="69">
        <v>1.3898999999999999</v>
      </c>
      <c r="U9" s="69">
        <v>0.1173</v>
      </c>
    </row>
    <row r="10" spans="2:21" ht="18" x14ac:dyDescent="0.35">
      <c r="B10" s="127"/>
      <c r="C10" s="56" t="s">
        <v>144</v>
      </c>
      <c r="D10" s="82" t="s">
        <v>166</v>
      </c>
      <c r="E10" s="56" t="s">
        <v>133</v>
      </c>
      <c r="F10" s="86">
        <v>4</v>
      </c>
      <c r="G10" s="57" t="s">
        <v>145</v>
      </c>
      <c r="H10" s="56"/>
      <c r="I10" s="52"/>
      <c r="J10" s="53"/>
      <c r="K10" s="130"/>
      <c r="L10" s="53" t="s">
        <v>144</v>
      </c>
      <c r="M10" s="84" t="s">
        <v>166</v>
      </c>
      <c r="N10" s="53" t="s">
        <v>133</v>
      </c>
      <c r="O10" s="85">
        <v>25</v>
      </c>
      <c r="P10" s="59" t="s">
        <v>145</v>
      </c>
      <c r="Q10" s="53"/>
      <c r="R10" s="52"/>
      <c r="S10" s="69">
        <v>25</v>
      </c>
      <c r="T10" s="69">
        <v>0.8891</v>
      </c>
      <c r="U10" s="69">
        <v>0.1164</v>
      </c>
    </row>
    <row r="11" spans="2:21" ht="18.75" thickBot="1" x14ac:dyDescent="0.4">
      <c r="B11" s="128"/>
      <c r="C11" s="70" t="s">
        <v>146</v>
      </c>
      <c r="D11" s="71" t="s">
        <v>167</v>
      </c>
      <c r="E11" s="70" t="s">
        <v>133</v>
      </c>
      <c r="F11" s="88">
        <v>45</v>
      </c>
      <c r="G11" s="73" t="s">
        <v>147</v>
      </c>
      <c r="H11" s="56"/>
      <c r="I11" s="52"/>
      <c r="J11" s="53"/>
      <c r="K11" s="131"/>
      <c r="L11" s="74" t="s">
        <v>146</v>
      </c>
      <c r="M11" s="75" t="s">
        <v>167</v>
      </c>
      <c r="N11" s="74" t="s">
        <v>133</v>
      </c>
      <c r="O11" s="89">
        <v>45</v>
      </c>
      <c r="P11" s="77" t="s">
        <v>147</v>
      </c>
      <c r="Q11" s="53"/>
      <c r="R11" s="52"/>
      <c r="S11" s="69">
        <v>35</v>
      </c>
      <c r="T11" s="69">
        <v>0.63529999999999998</v>
      </c>
      <c r="U11" s="69">
        <v>0.1128</v>
      </c>
    </row>
    <row r="12" spans="2:21" ht="15.75" thickBot="1" x14ac:dyDescent="0.3">
      <c r="B12" s="55"/>
      <c r="C12" s="56"/>
      <c r="D12" s="56"/>
      <c r="E12" s="56"/>
      <c r="F12" s="56"/>
      <c r="G12" s="57"/>
      <c r="H12" s="56"/>
      <c r="I12" s="52"/>
      <c r="J12" s="53"/>
      <c r="K12" s="58"/>
      <c r="L12" s="53"/>
      <c r="M12" s="53"/>
      <c r="N12" s="53"/>
      <c r="O12" s="53"/>
      <c r="P12" s="59"/>
      <c r="Q12" s="53"/>
      <c r="R12" s="52"/>
      <c r="S12" s="69">
        <v>50</v>
      </c>
      <c r="T12" s="69">
        <v>0.44500000000000001</v>
      </c>
      <c r="U12" s="69">
        <v>0.11269999999999999</v>
      </c>
    </row>
    <row r="13" spans="2:21" ht="18" x14ac:dyDescent="0.35">
      <c r="B13" s="126" t="s">
        <v>148</v>
      </c>
      <c r="C13" s="61" t="s">
        <v>168</v>
      </c>
      <c r="D13" s="62" t="s">
        <v>149</v>
      </c>
      <c r="E13" s="61" t="s">
        <v>133</v>
      </c>
      <c r="F13" s="90">
        <f>F4*(1+F5*(F11-20))</f>
        <v>1.9590375E-2</v>
      </c>
      <c r="G13" s="91" t="s">
        <v>134</v>
      </c>
      <c r="H13" s="92"/>
      <c r="I13" s="52"/>
      <c r="J13" s="53"/>
      <c r="K13" s="129" t="s">
        <v>148</v>
      </c>
      <c r="L13" s="65" t="s">
        <v>168</v>
      </c>
      <c r="M13" s="66" t="s">
        <v>149</v>
      </c>
      <c r="N13" s="65" t="s">
        <v>133</v>
      </c>
      <c r="O13" s="93">
        <f>O4*(1+O5*(O11-20))</f>
        <v>1.9590375E-2</v>
      </c>
      <c r="P13" s="94" t="s">
        <v>134</v>
      </c>
      <c r="Q13" s="95"/>
      <c r="R13" s="52"/>
      <c r="S13" s="69">
        <v>70</v>
      </c>
      <c r="T13" s="69">
        <v>0.31840000000000002</v>
      </c>
      <c r="U13" s="69">
        <v>0.1096</v>
      </c>
    </row>
    <row r="14" spans="2:21" ht="18" x14ac:dyDescent="0.35">
      <c r="B14" s="127"/>
      <c r="C14" s="56" t="s">
        <v>150</v>
      </c>
      <c r="D14" s="96" t="s">
        <v>169</v>
      </c>
      <c r="E14" s="56" t="s">
        <v>133</v>
      </c>
      <c r="F14" s="97">
        <f>(200*F13*F7*F8)/(F10*F9)</f>
        <v>1.448132274225</v>
      </c>
      <c r="G14" s="57" t="s">
        <v>151</v>
      </c>
      <c r="H14" s="56"/>
      <c r="I14" s="52"/>
      <c r="J14" s="53"/>
      <c r="K14" s="130"/>
      <c r="L14" s="53" t="s">
        <v>150</v>
      </c>
      <c r="M14" s="98" t="s">
        <v>169</v>
      </c>
      <c r="N14" s="53" t="s">
        <v>133</v>
      </c>
      <c r="O14" s="99">
        <f>(100*SQRT(3)*O13*O7*O8)/(O10*O9)</f>
        <v>0.56141250188704916</v>
      </c>
      <c r="P14" s="59" t="s">
        <v>151</v>
      </c>
      <c r="Q14" s="53"/>
      <c r="R14" s="52"/>
      <c r="S14" s="69">
        <v>95</v>
      </c>
      <c r="T14" s="69">
        <v>0.23519999999999999</v>
      </c>
      <c r="U14" s="69">
        <v>0.109</v>
      </c>
    </row>
    <row r="15" spans="2:21" ht="15.75" thickBot="1" x14ac:dyDescent="0.3">
      <c r="B15" s="128"/>
      <c r="C15" s="70" t="s">
        <v>152</v>
      </c>
      <c r="D15" s="100" t="s">
        <v>153</v>
      </c>
      <c r="E15" s="70" t="s">
        <v>133</v>
      </c>
      <c r="F15" s="101">
        <f>F9*F14/100</f>
        <v>7.2406613711249994</v>
      </c>
      <c r="G15" s="73" t="s">
        <v>142</v>
      </c>
      <c r="H15" s="56"/>
      <c r="I15" s="52"/>
      <c r="J15" s="53"/>
      <c r="K15" s="131"/>
      <c r="L15" s="74" t="s">
        <v>152</v>
      </c>
      <c r="M15" s="102" t="s">
        <v>153</v>
      </c>
      <c r="N15" s="74" t="s">
        <v>133</v>
      </c>
      <c r="O15" s="103">
        <f>O9*O14/100</f>
        <v>1.2351075041515081</v>
      </c>
      <c r="P15" s="77" t="s">
        <v>142</v>
      </c>
      <c r="Q15" s="53"/>
      <c r="R15" s="52"/>
      <c r="S15" s="69">
        <v>120</v>
      </c>
      <c r="T15" s="69">
        <v>0.18679999999999999</v>
      </c>
      <c r="U15" s="69">
        <v>0.1076</v>
      </c>
    </row>
    <row r="16" spans="2:21" x14ac:dyDescent="0.25">
      <c r="B16" s="56"/>
      <c r="C16" s="56"/>
      <c r="D16" s="56"/>
      <c r="E16" s="56"/>
      <c r="F16" s="56"/>
      <c r="G16" s="56"/>
      <c r="H16" s="56"/>
      <c r="I16" s="52"/>
      <c r="J16" s="53"/>
      <c r="K16" s="53"/>
      <c r="L16" s="53"/>
      <c r="M16" s="53"/>
      <c r="N16" s="53"/>
      <c r="O16" s="53"/>
      <c r="P16" s="53"/>
      <c r="Q16" s="53"/>
      <c r="R16" s="52"/>
      <c r="S16" s="69">
        <v>150</v>
      </c>
      <c r="T16" s="69">
        <v>0.1502</v>
      </c>
      <c r="U16" s="69">
        <v>0.1074</v>
      </c>
    </row>
    <row r="17" spans="2:21" x14ac:dyDescent="0.25"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69">
        <v>185</v>
      </c>
      <c r="T17" s="69">
        <v>0.1226</v>
      </c>
      <c r="U17" s="69">
        <v>0.10730000000000001</v>
      </c>
    </row>
    <row r="18" spans="2:21" ht="15.75" thickBot="1" x14ac:dyDescent="0.3">
      <c r="B18" s="52"/>
      <c r="C18" s="52"/>
      <c r="D18" s="52"/>
      <c r="E18" s="52"/>
      <c r="F18" s="52"/>
      <c r="G18" s="52"/>
      <c r="H18" s="52"/>
      <c r="I18" s="52"/>
      <c r="J18" s="104"/>
      <c r="K18" s="104"/>
      <c r="L18" s="104"/>
      <c r="M18" s="104"/>
      <c r="N18" s="104"/>
      <c r="O18" s="104"/>
      <c r="P18" s="104"/>
      <c r="Q18" s="104"/>
      <c r="R18" s="52"/>
      <c r="S18" s="69">
        <v>240</v>
      </c>
      <c r="T18" s="69">
        <v>9.5799999999999996E-2</v>
      </c>
      <c r="U18" s="69">
        <v>0.107</v>
      </c>
    </row>
    <row r="19" spans="2:21" ht="15.75" thickBot="1" x14ac:dyDescent="0.3">
      <c r="B19" s="52"/>
      <c r="C19" s="52"/>
      <c r="D19" s="52"/>
      <c r="E19" s="52"/>
      <c r="F19" s="52"/>
      <c r="G19" s="52"/>
      <c r="H19" s="52"/>
      <c r="I19" s="52"/>
      <c r="J19" s="104"/>
      <c r="K19" s="141" t="s">
        <v>154</v>
      </c>
      <c r="L19" s="142"/>
      <c r="M19" s="142"/>
      <c r="N19" s="142"/>
      <c r="O19" s="142"/>
      <c r="P19" s="143"/>
      <c r="Q19" s="105"/>
      <c r="R19" s="52"/>
      <c r="S19" s="69">
        <v>300</v>
      </c>
      <c r="T19" s="69">
        <v>7.8100000000000003E-2</v>
      </c>
      <c r="U19" s="69">
        <v>0.10680000000000001</v>
      </c>
    </row>
    <row r="20" spans="2:21" ht="15.75" thickBot="1" x14ac:dyDescent="0.3">
      <c r="B20" s="52"/>
      <c r="C20" s="52"/>
      <c r="D20" s="52"/>
      <c r="E20" s="52"/>
      <c r="F20" s="52"/>
      <c r="G20" s="52"/>
      <c r="H20" s="52"/>
      <c r="I20" s="52"/>
      <c r="J20" s="104"/>
      <c r="K20" s="106"/>
      <c r="L20" s="104"/>
      <c r="M20" s="104"/>
      <c r="N20" s="104"/>
      <c r="O20" s="104"/>
      <c r="P20" s="107"/>
      <c r="Q20" s="104"/>
      <c r="R20" s="52"/>
      <c r="S20" s="69">
        <v>400</v>
      </c>
      <c r="T20" s="69">
        <v>6.08E-2</v>
      </c>
      <c r="U20" s="69">
        <v>0.10580000000000001</v>
      </c>
    </row>
    <row r="21" spans="2:21" ht="18" x14ac:dyDescent="0.35">
      <c r="B21" s="52"/>
      <c r="C21" s="52"/>
      <c r="D21" s="52"/>
      <c r="E21" s="52"/>
      <c r="F21" s="52"/>
      <c r="G21" s="52"/>
      <c r="H21" s="52"/>
      <c r="I21" s="52"/>
      <c r="J21" s="104"/>
      <c r="K21" s="144" t="s">
        <v>137</v>
      </c>
      <c r="L21" s="108" t="s">
        <v>144</v>
      </c>
      <c r="M21" s="109" t="s">
        <v>166</v>
      </c>
      <c r="N21" s="108" t="s">
        <v>133</v>
      </c>
      <c r="O21" s="110">
        <v>16</v>
      </c>
      <c r="P21" s="111" t="s">
        <v>145</v>
      </c>
      <c r="Q21" s="104"/>
      <c r="R21" s="52"/>
      <c r="S21" s="69">
        <v>500</v>
      </c>
      <c r="T21" s="69">
        <v>5.0700000000000002E-2</v>
      </c>
      <c r="U21" s="69">
        <v>0.1051</v>
      </c>
    </row>
    <row r="22" spans="2:21" ht="18" x14ac:dyDescent="0.35">
      <c r="B22" s="52"/>
      <c r="C22" s="52"/>
      <c r="D22" s="52"/>
      <c r="E22" s="52"/>
      <c r="F22" s="52"/>
      <c r="G22" s="52"/>
      <c r="H22" s="52"/>
      <c r="I22" s="52"/>
      <c r="J22" s="104"/>
      <c r="K22" s="145"/>
      <c r="L22" s="104" t="s">
        <v>155</v>
      </c>
      <c r="M22" s="112" t="s">
        <v>170</v>
      </c>
      <c r="N22" s="104" t="s">
        <v>133</v>
      </c>
      <c r="O22" s="113">
        <f>INDEX($T$4:$T$22,MATCH(O21,$S$4:$S$22,0))</f>
        <v>1.3898999999999999</v>
      </c>
      <c r="P22" s="107" t="s">
        <v>156</v>
      </c>
      <c r="Q22" s="104"/>
      <c r="R22" s="52"/>
      <c r="S22" s="69">
        <v>630</v>
      </c>
      <c r="T22" s="69">
        <v>2.92E-2</v>
      </c>
      <c r="U22" s="69">
        <v>0.1042</v>
      </c>
    </row>
    <row r="23" spans="2:21" ht="18" x14ac:dyDescent="0.35">
      <c r="B23" s="52"/>
      <c r="C23" s="52"/>
      <c r="D23" s="52"/>
      <c r="E23" s="52"/>
      <c r="F23" s="52"/>
      <c r="G23" s="52"/>
      <c r="H23" s="52"/>
      <c r="I23" s="52"/>
      <c r="J23" s="104"/>
      <c r="K23" s="145"/>
      <c r="L23" s="104" t="s">
        <v>157</v>
      </c>
      <c r="M23" s="112" t="s">
        <v>171</v>
      </c>
      <c r="N23" s="104" t="s">
        <v>133</v>
      </c>
      <c r="O23" s="113">
        <f>INDEX(U4:U22,MATCH(O21,S4:S22,0))</f>
        <v>0.1173</v>
      </c>
      <c r="P23" s="107" t="s">
        <v>156</v>
      </c>
      <c r="Q23" s="104"/>
      <c r="R23" s="52"/>
      <c r="S23" s="52"/>
      <c r="T23" s="52"/>
      <c r="U23" s="52"/>
    </row>
    <row r="24" spans="2:21" ht="18" x14ac:dyDescent="0.35">
      <c r="B24" s="52"/>
      <c r="C24" s="52"/>
      <c r="D24" s="52"/>
      <c r="E24" s="52"/>
      <c r="F24" s="52"/>
      <c r="G24" s="52"/>
      <c r="H24" s="52"/>
      <c r="I24" s="52"/>
      <c r="J24" s="104"/>
      <c r="K24" s="145"/>
      <c r="L24" s="104" t="s">
        <v>138</v>
      </c>
      <c r="M24" s="112" t="s">
        <v>163</v>
      </c>
      <c r="N24" s="104" t="s">
        <v>133</v>
      </c>
      <c r="O24" s="113">
        <v>8</v>
      </c>
      <c r="P24" s="107" t="s">
        <v>139</v>
      </c>
      <c r="Q24" s="104"/>
      <c r="R24" s="52"/>
      <c r="S24" s="52">
        <v>1.3898999999999999</v>
      </c>
      <c r="T24" s="52"/>
      <c r="U24" s="52"/>
    </row>
    <row r="25" spans="2:21" ht="18" x14ac:dyDescent="0.35">
      <c r="B25" s="52"/>
      <c r="C25" s="52"/>
      <c r="D25" s="52"/>
      <c r="E25" s="52"/>
      <c r="F25" s="52"/>
      <c r="G25" s="52"/>
      <c r="H25" s="52"/>
      <c r="I25" s="52"/>
      <c r="J25" s="104"/>
      <c r="K25" s="145"/>
      <c r="L25" s="104" t="s">
        <v>140</v>
      </c>
      <c r="M25" s="112" t="s">
        <v>164</v>
      </c>
      <c r="N25" s="104" t="s">
        <v>133</v>
      </c>
      <c r="O25" s="113">
        <v>133.69999999999999</v>
      </c>
      <c r="P25" s="107" t="s">
        <v>17</v>
      </c>
      <c r="Q25" s="104"/>
      <c r="R25" s="52"/>
      <c r="S25" s="52">
        <v>0.1173</v>
      </c>
      <c r="T25" s="52"/>
      <c r="U25" s="52"/>
    </row>
    <row r="26" spans="2:21" ht="18" x14ac:dyDescent="0.35">
      <c r="B26" s="52"/>
      <c r="C26" s="52"/>
      <c r="D26" s="52"/>
      <c r="E26" s="52"/>
      <c r="F26" s="52"/>
      <c r="G26" s="52"/>
      <c r="H26" s="52"/>
      <c r="I26" s="52"/>
      <c r="J26" s="104"/>
      <c r="K26" s="145"/>
      <c r="L26" s="104" t="s">
        <v>143</v>
      </c>
      <c r="M26" s="112" t="s">
        <v>165</v>
      </c>
      <c r="N26" s="104" t="s">
        <v>133</v>
      </c>
      <c r="O26" s="113">
        <v>380</v>
      </c>
      <c r="P26" s="107" t="s">
        <v>142</v>
      </c>
      <c r="Q26" s="104"/>
      <c r="R26" s="52"/>
      <c r="S26" s="123">
        <v>0.67761339097205386</v>
      </c>
      <c r="T26" s="52"/>
      <c r="U26" s="52"/>
    </row>
    <row r="27" spans="2:21" ht="18" x14ac:dyDescent="0.35">
      <c r="B27" s="52"/>
      <c r="C27" s="52"/>
      <c r="D27" s="52"/>
      <c r="E27" s="52"/>
      <c r="F27" s="52"/>
      <c r="G27" s="52"/>
      <c r="H27" s="52"/>
      <c r="I27" s="52"/>
      <c r="J27" s="104"/>
      <c r="K27" s="145"/>
      <c r="L27" s="104" t="s">
        <v>146</v>
      </c>
      <c r="M27" s="112" t="s">
        <v>167</v>
      </c>
      <c r="N27" s="104" t="s">
        <v>133</v>
      </c>
      <c r="O27" s="113">
        <v>45</v>
      </c>
      <c r="P27" s="107" t="s">
        <v>147</v>
      </c>
      <c r="Q27" s="104"/>
      <c r="R27" s="52"/>
      <c r="S27" s="52"/>
      <c r="T27" s="52"/>
      <c r="U27" s="52"/>
    </row>
    <row r="28" spans="2:21" ht="18" x14ac:dyDescent="0.35">
      <c r="B28" s="52"/>
      <c r="C28" s="52"/>
      <c r="D28" s="52"/>
      <c r="E28" s="52"/>
      <c r="F28" s="52"/>
      <c r="G28" s="52"/>
      <c r="H28" s="52"/>
      <c r="I28" s="52"/>
      <c r="J28" s="104"/>
      <c r="K28" s="145"/>
      <c r="L28" s="104" t="s">
        <v>158</v>
      </c>
      <c r="M28" s="112" t="s">
        <v>172</v>
      </c>
      <c r="N28" s="104" t="s">
        <v>133</v>
      </c>
      <c r="O28" s="113">
        <v>1</v>
      </c>
      <c r="P28" s="107"/>
      <c r="Q28" s="104"/>
      <c r="R28" s="52"/>
      <c r="S28" s="52"/>
      <c r="T28" s="52"/>
      <c r="U28" s="52"/>
    </row>
    <row r="29" spans="2:21" ht="15.75" thickBot="1" x14ac:dyDescent="0.3">
      <c r="B29" s="52"/>
      <c r="C29" s="52"/>
      <c r="D29" s="52"/>
      <c r="E29" s="52"/>
      <c r="F29" s="52"/>
      <c r="G29" s="52"/>
      <c r="H29" s="52"/>
      <c r="I29" s="52"/>
      <c r="J29" s="104"/>
      <c r="K29" s="146"/>
      <c r="L29" s="114" t="s">
        <v>159</v>
      </c>
      <c r="M29" s="115" t="s">
        <v>160</v>
      </c>
      <c r="N29" s="114" t="s">
        <v>133</v>
      </c>
      <c r="O29" s="116">
        <v>1</v>
      </c>
      <c r="P29" s="117"/>
      <c r="Q29" s="104"/>
      <c r="R29" s="52"/>
      <c r="S29" s="52"/>
      <c r="T29" s="52"/>
      <c r="U29" s="52"/>
    </row>
    <row r="30" spans="2:21" ht="15.75" thickBot="1" x14ac:dyDescent="0.3">
      <c r="B30" s="52"/>
      <c r="C30" s="52"/>
      <c r="D30" s="52"/>
      <c r="E30" s="52"/>
      <c r="F30" s="52"/>
      <c r="G30" s="52"/>
      <c r="H30" s="52"/>
      <c r="I30" s="52"/>
      <c r="J30" s="104"/>
      <c r="K30" s="106"/>
      <c r="L30" s="104"/>
      <c r="M30" s="104"/>
      <c r="N30" s="104"/>
      <c r="O30" s="104"/>
      <c r="P30" s="107"/>
      <c r="Q30" s="104"/>
      <c r="R30" s="52"/>
      <c r="S30" s="52"/>
      <c r="T30" s="52"/>
      <c r="U30" s="52"/>
    </row>
    <row r="31" spans="2:21" ht="18" x14ac:dyDescent="0.35">
      <c r="B31" s="52"/>
      <c r="C31" s="52"/>
      <c r="D31" s="52"/>
      <c r="E31" s="52"/>
      <c r="F31" s="52"/>
      <c r="G31" s="52"/>
      <c r="H31" s="52"/>
      <c r="I31" s="52"/>
      <c r="J31" s="104"/>
      <c r="K31" s="144" t="s">
        <v>148</v>
      </c>
      <c r="L31" s="108" t="s">
        <v>150</v>
      </c>
      <c r="M31" s="118" t="s">
        <v>169</v>
      </c>
      <c r="N31" s="108" t="s">
        <v>133</v>
      </c>
      <c r="O31" s="119">
        <f>(SQRT(3)*O25*O24*(O22*O29+O23*SIN(ACOS(O29))))/(10*O28*O26)</f>
        <v>0.67761339097205397</v>
      </c>
      <c r="P31" s="111" t="s">
        <v>151</v>
      </c>
      <c r="Q31" s="104"/>
      <c r="R31" s="52"/>
      <c r="S31" s="52"/>
      <c r="T31" s="52"/>
      <c r="U31" s="52"/>
    </row>
    <row r="32" spans="2:21" ht="15.75" thickBot="1" x14ac:dyDescent="0.3">
      <c r="B32" s="52"/>
      <c r="C32" s="52"/>
      <c r="D32" s="52"/>
      <c r="E32" s="52"/>
      <c r="F32" s="52"/>
      <c r="G32" s="52"/>
      <c r="H32" s="52"/>
      <c r="I32" s="52"/>
      <c r="J32" s="104"/>
      <c r="K32" s="146"/>
      <c r="L32" s="114" t="s">
        <v>152</v>
      </c>
      <c r="M32" s="120" t="s">
        <v>153</v>
      </c>
      <c r="N32" s="114" t="s">
        <v>133</v>
      </c>
      <c r="O32" s="121">
        <f>O26*O31/100</f>
        <v>2.5749308856938051</v>
      </c>
      <c r="P32" s="117" t="s">
        <v>142</v>
      </c>
      <c r="Q32" s="104"/>
      <c r="R32" s="52"/>
      <c r="S32" s="52"/>
      <c r="T32" s="52"/>
      <c r="U32" s="52"/>
    </row>
    <row r="33" spans="2:21" x14ac:dyDescent="0.25">
      <c r="B33" s="52"/>
      <c r="C33" s="52"/>
      <c r="D33" s="52"/>
      <c r="E33" s="52"/>
      <c r="F33" s="52"/>
      <c r="G33" s="52"/>
      <c r="H33" s="52"/>
      <c r="I33" s="52"/>
      <c r="J33" s="104"/>
      <c r="K33" s="104"/>
      <c r="L33" s="104"/>
      <c r="M33" s="104"/>
      <c r="N33" s="104"/>
      <c r="O33" s="104"/>
      <c r="P33" s="104"/>
      <c r="Q33" s="104"/>
      <c r="R33" s="52"/>
      <c r="S33" s="52"/>
      <c r="T33" s="52"/>
      <c r="U33" s="52"/>
    </row>
  </sheetData>
  <mergeCells count="12">
    <mergeCell ref="B13:B15"/>
    <mergeCell ref="K13:K15"/>
    <mergeCell ref="K19:P19"/>
    <mergeCell ref="K21:K29"/>
    <mergeCell ref="K31:K32"/>
    <mergeCell ref="B7:B11"/>
    <mergeCell ref="K7:K11"/>
    <mergeCell ref="B2:G2"/>
    <mergeCell ref="K2:P2"/>
    <mergeCell ref="S2:U2"/>
    <mergeCell ref="B4:B5"/>
    <mergeCell ref="K4:K5"/>
  </mergeCells>
  <conditionalFormatting sqref="F14">
    <cfRule type="cellIs" dxfId="21" priority="3" operator="greaterThan">
      <formula>1.5</formula>
    </cfRule>
  </conditionalFormatting>
  <conditionalFormatting sqref="O14">
    <cfRule type="cellIs" dxfId="20" priority="2" operator="greaterThan">
      <formula>1.5</formula>
    </cfRule>
  </conditionalFormatting>
  <conditionalFormatting sqref="O31">
    <cfRule type="cellIs" dxfId="19" priority="1" operator="greaterThan">
      <formula>1.5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99496-C687-4E4E-A6AD-E2E967FD2B08}">
  <sheetPr codeName="Planilha2"/>
  <dimension ref="A1:AA23"/>
  <sheetViews>
    <sheetView topLeftCell="P1" workbookViewId="0">
      <selection activeCell="AC4" sqref="AC4"/>
    </sheetView>
  </sheetViews>
  <sheetFormatPr defaultRowHeight="15" x14ac:dyDescent="0.25"/>
  <cols>
    <col min="1" max="1" width="19.140625" style="1" bestFit="1" customWidth="1"/>
    <col min="2" max="2" width="20.28515625" style="1" bestFit="1" customWidth="1"/>
    <col min="3" max="3" width="10.85546875" style="1" bestFit="1" customWidth="1"/>
    <col min="4" max="5" width="9.140625" style="1"/>
    <col min="6" max="6" width="8.7109375" style="1" bestFit="1" customWidth="1"/>
    <col min="7" max="7" width="24.85546875" style="1" bestFit="1" customWidth="1"/>
    <col min="8" max="8" width="12.140625" style="1" bestFit="1" customWidth="1"/>
    <col min="9" max="9" width="17.5703125" style="1" bestFit="1" customWidth="1"/>
    <col min="10" max="10" width="17.28515625" style="1" bestFit="1" customWidth="1"/>
    <col min="11" max="11" width="19.28515625" style="1" bestFit="1" customWidth="1"/>
    <col min="12" max="12" width="19.85546875" style="1" customWidth="1"/>
    <col min="13" max="13" width="23.140625" style="1" bestFit="1" customWidth="1"/>
    <col min="14" max="14" width="19.140625" style="1" bestFit="1" customWidth="1"/>
    <col min="15" max="15" width="15.7109375" style="1" bestFit="1" customWidth="1"/>
    <col min="16" max="16" width="16.28515625" style="1" bestFit="1" customWidth="1"/>
    <col min="17" max="17" width="11.140625" style="1" bestFit="1" customWidth="1"/>
    <col min="18" max="18" width="11.5703125" style="1" bestFit="1" customWidth="1"/>
    <col min="19" max="19" width="23.5703125" style="1" bestFit="1" customWidth="1"/>
    <col min="20" max="24" width="9.140625" style="1"/>
    <col min="25" max="25" width="12.140625" style="1" bestFit="1" customWidth="1"/>
    <col min="26" max="26" width="18.85546875" style="1" bestFit="1" customWidth="1"/>
    <col min="27" max="27" width="17.42578125" style="1" bestFit="1" customWidth="1"/>
    <col min="28" max="16384" width="9.140625" style="1"/>
  </cols>
  <sheetData>
    <row r="1" spans="1:27" ht="18.75" x14ac:dyDescent="0.25">
      <c r="A1" s="147" t="s">
        <v>70</v>
      </c>
      <c r="B1" s="147"/>
      <c r="C1" s="147"/>
      <c r="D1" s="147"/>
      <c r="E1" s="147"/>
      <c r="F1" s="147"/>
      <c r="G1" s="147"/>
    </row>
    <row r="2" spans="1:27" ht="15.75" thickBot="1" x14ac:dyDescent="0.3"/>
    <row r="3" spans="1:27" ht="32.25" thickBot="1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8</v>
      </c>
      <c r="H3" s="2" t="s">
        <v>7</v>
      </c>
      <c r="I3" s="2" t="s">
        <v>71</v>
      </c>
      <c r="J3" s="2" t="s">
        <v>10</v>
      </c>
      <c r="K3" s="2" t="s">
        <v>9</v>
      </c>
      <c r="L3" s="3" t="s">
        <v>12</v>
      </c>
      <c r="M3" s="2" t="s">
        <v>11</v>
      </c>
      <c r="N3" s="2" t="s">
        <v>13</v>
      </c>
      <c r="O3" s="3" t="s">
        <v>14</v>
      </c>
      <c r="P3" s="3" t="s">
        <v>16</v>
      </c>
      <c r="Q3" s="2" t="s">
        <v>15</v>
      </c>
      <c r="R3" s="2" t="s">
        <v>63</v>
      </c>
      <c r="S3" s="2" t="s">
        <v>88</v>
      </c>
      <c r="Y3" s="148" t="s">
        <v>127</v>
      </c>
      <c r="Z3" s="149"/>
      <c r="AA3" s="150"/>
    </row>
    <row r="4" spans="1:27" x14ac:dyDescent="0.25">
      <c r="G4" s="1" t="s">
        <v>80</v>
      </c>
      <c r="H4" s="1" t="s">
        <v>28</v>
      </c>
      <c r="I4" s="1" t="s">
        <v>72</v>
      </c>
      <c r="J4" s="1" t="s">
        <v>40</v>
      </c>
      <c r="K4" s="1" t="s">
        <v>17</v>
      </c>
      <c r="L4" s="1" t="s">
        <v>42</v>
      </c>
      <c r="M4" s="4" t="s">
        <v>45</v>
      </c>
      <c r="O4" s="1" t="s">
        <v>43</v>
      </c>
      <c r="P4" s="1" t="s">
        <v>51</v>
      </c>
      <c r="Q4" s="1" t="s">
        <v>61</v>
      </c>
      <c r="R4" s="1" t="s">
        <v>65</v>
      </c>
      <c r="S4" s="1" t="s">
        <v>90</v>
      </c>
      <c r="Y4" s="49" t="s">
        <v>128</v>
      </c>
      <c r="Z4" s="49" t="s">
        <v>129</v>
      </c>
      <c r="AA4" s="49" t="s">
        <v>130</v>
      </c>
    </row>
    <row r="5" spans="1:27" x14ac:dyDescent="0.25">
      <c r="G5" s="1" t="s">
        <v>81</v>
      </c>
      <c r="H5" s="1" t="s">
        <v>29</v>
      </c>
      <c r="I5" s="1" t="s">
        <v>73</v>
      </c>
      <c r="J5" s="1" t="s">
        <v>41</v>
      </c>
      <c r="K5" s="1" t="s">
        <v>18</v>
      </c>
      <c r="L5" s="1" t="s">
        <v>43</v>
      </c>
      <c r="M5" s="4" t="s">
        <v>46</v>
      </c>
      <c r="O5" s="1" t="s">
        <v>44</v>
      </c>
      <c r="P5" s="1" t="s">
        <v>53</v>
      </c>
      <c r="Q5" s="1" t="s">
        <v>68</v>
      </c>
      <c r="R5" s="1" t="s">
        <v>64</v>
      </c>
      <c r="S5" s="1" t="s">
        <v>91</v>
      </c>
      <c r="Y5" s="50">
        <v>1.5</v>
      </c>
      <c r="Z5" s="50">
        <v>14.813700000000001</v>
      </c>
      <c r="AA5" s="50">
        <v>0.13780000000000001</v>
      </c>
    </row>
    <row r="6" spans="1:27" x14ac:dyDescent="0.25">
      <c r="H6" s="1" t="s">
        <v>35</v>
      </c>
      <c r="I6" s="1" t="s">
        <v>74</v>
      </c>
      <c r="K6" s="1" t="s">
        <v>20</v>
      </c>
      <c r="L6" s="1" t="s">
        <v>44</v>
      </c>
      <c r="M6" s="4" t="s">
        <v>47</v>
      </c>
      <c r="O6" s="1" t="s">
        <v>60</v>
      </c>
      <c r="P6" s="1" t="s">
        <v>55</v>
      </c>
      <c r="Q6" s="1" t="s">
        <v>62</v>
      </c>
      <c r="R6" s="1" t="s">
        <v>66</v>
      </c>
      <c r="S6" s="1" t="s">
        <v>92</v>
      </c>
      <c r="Y6" s="50">
        <v>2.5</v>
      </c>
      <c r="Z6" s="50">
        <v>8.8881999999999994</v>
      </c>
      <c r="AA6" s="50">
        <v>0.13450000000000001</v>
      </c>
    </row>
    <row r="7" spans="1:27" x14ac:dyDescent="0.25">
      <c r="H7" s="1" t="s">
        <v>21</v>
      </c>
      <c r="K7" s="1" t="s">
        <v>19</v>
      </c>
      <c r="M7" s="4" t="s">
        <v>48</v>
      </c>
      <c r="P7" s="1" t="s">
        <v>57</v>
      </c>
      <c r="R7" s="1" t="s">
        <v>67</v>
      </c>
      <c r="S7" s="1" t="s">
        <v>93</v>
      </c>
      <c r="Y7" s="50">
        <v>4</v>
      </c>
      <c r="Z7" s="50">
        <v>5.5518000000000001</v>
      </c>
      <c r="AA7" s="50">
        <v>0.12790000000000001</v>
      </c>
    </row>
    <row r="8" spans="1:27" x14ac:dyDescent="0.25">
      <c r="H8" s="1" t="s">
        <v>22</v>
      </c>
      <c r="M8" s="4" t="s">
        <v>49</v>
      </c>
      <c r="S8" s="1" t="s">
        <v>94</v>
      </c>
      <c r="Y8" s="50">
        <v>6</v>
      </c>
      <c r="Z8" s="50">
        <v>3.7035</v>
      </c>
      <c r="AA8" s="50">
        <v>0.1225</v>
      </c>
    </row>
    <row r="9" spans="1:27" x14ac:dyDescent="0.25">
      <c r="H9" s="1" t="s">
        <v>23</v>
      </c>
      <c r="M9" s="4" t="s">
        <v>50</v>
      </c>
      <c r="S9" s="1" t="s">
        <v>95</v>
      </c>
      <c r="Y9" s="50">
        <v>10</v>
      </c>
      <c r="Z9" s="50">
        <v>2.2221000000000002</v>
      </c>
      <c r="AA9" s="50">
        <v>0.1207</v>
      </c>
    </row>
    <row r="10" spans="1:27" x14ac:dyDescent="0.25">
      <c r="H10" s="1" t="s">
        <v>24</v>
      </c>
      <c r="M10" s="4" t="s">
        <v>51</v>
      </c>
      <c r="S10" s="1" t="s">
        <v>96</v>
      </c>
      <c r="Y10" s="50">
        <v>16</v>
      </c>
      <c r="Z10" s="50">
        <v>1.3898999999999999</v>
      </c>
      <c r="AA10" s="50">
        <v>0.1173</v>
      </c>
    </row>
    <row r="11" spans="1:27" x14ac:dyDescent="0.25">
      <c r="H11" s="1" t="s">
        <v>25</v>
      </c>
      <c r="M11" s="4" t="s">
        <v>52</v>
      </c>
      <c r="S11" s="1" t="s">
        <v>97</v>
      </c>
      <c r="Y11" s="50">
        <v>25</v>
      </c>
      <c r="Z11" s="50">
        <v>0.8891</v>
      </c>
      <c r="AA11" s="50">
        <v>0.1164</v>
      </c>
    </row>
    <row r="12" spans="1:27" x14ac:dyDescent="0.25">
      <c r="H12" s="1" t="s">
        <v>26</v>
      </c>
      <c r="M12" s="4" t="s">
        <v>53</v>
      </c>
      <c r="S12" s="1" t="s">
        <v>98</v>
      </c>
      <c r="Y12" s="50">
        <v>35</v>
      </c>
      <c r="Z12" s="50">
        <v>0.63529999999999998</v>
      </c>
      <c r="AA12" s="50">
        <v>0.1128</v>
      </c>
    </row>
    <row r="13" spans="1:27" x14ac:dyDescent="0.25">
      <c r="H13" s="1" t="s">
        <v>27</v>
      </c>
      <c r="M13" s="4" t="s">
        <v>54</v>
      </c>
      <c r="S13" s="1" t="s">
        <v>99</v>
      </c>
      <c r="Y13" s="50">
        <v>50</v>
      </c>
      <c r="Z13" s="50">
        <v>0.44500000000000001</v>
      </c>
      <c r="AA13" s="50">
        <v>0.11269999999999999</v>
      </c>
    </row>
    <row r="14" spans="1:27" x14ac:dyDescent="0.25">
      <c r="H14" s="1" t="s">
        <v>30</v>
      </c>
      <c r="M14" s="4" t="s">
        <v>55</v>
      </c>
      <c r="S14" s="1" t="s">
        <v>100</v>
      </c>
      <c r="Y14" s="50">
        <v>70</v>
      </c>
      <c r="Z14" s="50">
        <v>0.31840000000000002</v>
      </c>
      <c r="AA14" s="50">
        <v>0.1096</v>
      </c>
    </row>
    <row r="15" spans="1:27" x14ac:dyDescent="0.25">
      <c r="H15" s="1" t="s">
        <v>31</v>
      </c>
      <c r="M15" s="4" t="s">
        <v>56</v>
      </c>
      <c r="S15" s="1" t="s">
        <v>101</v>
      </c>
      <c r="Y15" s="50">
        <v>95</v>
      </c>
      <c r="Z15" s="50">
        <v>0.23519999999999999</v>
      </c>
      <c r="AA15" s="50">
        <v>0.109</v>
      </c>
    </row>
    <row r="16" spans="1:27" x14ac:dyDescent="0.25">
      <c r="H16" s="1" t="s">
        <v>32</v>
      </c>
      <c r="M16" s="4" t="s">
        <v>57</v>
      </c>
      <c r="S16" s="1" t="s">
        <v>102</v>
      </c>
      <c r="Y16" s="50">
        <v>120</v>
      </c>
      <c r="Z16" s="50">
        <v>0.18679999999999999</v>
      </c>
      <c r="AA16" s="50">
        <v>0.1076</v>
      </c>
    </row>
    <row r="17" spans="8:27" x14ac:dyDescent="0.25">
      <c r="H17" s="1" t="s">
        <v>33</v>
      </c>
      <c r="M17" s="4" t="s">
        <v>58</v>
      </c>
      <c r="S17" s="1" t="s">
        <v>103</v>
      </c>
      <c r="Y17" s="50">
        <v>150</v>
      </c>
      <c r="Z17" s="50">
        <v>0.1502</v>
      </c>
      <c r="AA17" s="50">
        <v>0.1074</v>
      </c>
    </row>
    <row r="18" spans="8:27" x14ac:dyDescent="0.25">
      <c r="H18" s="1" t="s">
        <v>34</v>
      </c>
      <c r="M18" s="4" t="s">
        <v>59</v>
      </c>
      <c r="S18" s="1" t="s">
        <v>104</v>
      </c>
      <c r="Y18" s="50">
        <v>185</v>
      </c>
      <c r="Z18" s="50">
        <v>0.1226</v>
      </c>
      <c r="AA18" s="50">
        <v>0.10730000000000001</v>
      </c>
    </row>
    <row r="19" spans="8:27" x14ac:dyDescent="0.25">
      <c r="H19" s="1" t="s">
        <v>36</v>
      </c>
      <c r="S19" s="1" t="s">
        <v>105</v>
      </c>
      <c r="Y19" s="50">
        <v>240</v>
      </c>
      <c r="Z19" s="50">
        <v>9.5799999999999996E-2</v>
      </c>
      <c r="AA19" s="50">
        <v>0.107</v>
      </c>
    </row>
    <row r="20" spans="8:27" x14ac:dyDescent="0.25">
      <c r="H20" s="1" t="s">
        <v>37</v>
      </c>
      <c r="M20" s="4"/>
      <c r="S20" s="1" t="s">
        <v>106</v>
      </c>
      <c r="Y20" s="50">
        <v>300</v>
      </c>
      <c r="Z20" s="50">
        <v>7.8100000000000003E-2</v>
      </c>
      <c r="AA20" s="50">
        <v>0.10680000000000001</v>
      </c>
    </row>
    <row r="21" spans="8:27" x14ac:dyDescent="0.25">
      <c r="M21" s="4"/>
      <c r="S21" s="1" t="s">
        <v>107</v>
      </c>
      <c r="Y21" s="50">
        <v>400</v>
      </c>
      <c r="Z21" s="50">
        <v>6.08E-2</v>
      </c>
      <c r="AA21" s="50">
        <v>0.10580000000000001</v>
      </c>
    </row>
    <row r="22" spans="8:27" x14ac:dyDescent="0.25">
      <c r="S22" s="1" t="s">
        <v>108</v>
      </c>
      <c r="Y22" s="50">
        <v>500</v>
      </c>
      <c r="Z22" s="50">
        <v>5.0700000000000002E-2</v>
      </c>
      <c r="AA22" s="50">
        <v>0.1051</v>
      </c>
    </row>
    <row r="23" spans="8:27" x14ac:dyDescent="0.25">
      <c r="S23" s="1" t="s">
        <v>109</v>
      </c>
      <c r="Y23" s="50">
        <v>630</v>
      </c>
      <c r="Z23" s="50">
        <v>2.92E-2</v>
      </c>
      <c r="AA23" s="50">
        <v>0.1042</v>
      </c>
    </row>
  </sheetData>
  <mergeCells count="2">
    <mergeCell ref="A1:G1"/>
    <mergeCell ref="Y3:AA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QD</vt:lpstr>
      <vt:lpstr>ΔV_cobre</vt:lpstr>
      <vt:lpstr>DEFAULT</vt:lpstr>
      <vt:lpstr>IDR1_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Zanetti</dc:creator>
  <cp:lastModifiedBy>Gustavo Zanetti</cp:lastModifiedBy>
  <dcterms:created xsi:type="dcterms:W3CDTF">2023-05-09T21:33:56Z</dcterms:created>
  <dcterms:modified xsi:type="dcterms:W3CDTF">2024-04-02T01:00:39Z</dcterms:modified>
</cp:coreProperties>
</file>